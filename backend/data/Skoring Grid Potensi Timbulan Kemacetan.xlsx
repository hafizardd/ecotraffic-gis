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uliah Radyt\Mohammad Radyt Fahrasya\Lomba\Mapid\Data Webgis\data final\"/>
    </mc:Choice>
  </mc:AlternateContent>
  <xr:revisionPtr revIDLastSave="0" documentId="8_{90DE31AE-BF33-40B6-AFD1-B05D5014B33C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Skoring Potensi Aktivitas" sheetId="2" r:id="rId1"/>
    <sheet name="AHP Bobot" sheetId="1" r:id="rId2"/>
    <sheet name="Catat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2" l="1"/>
  <c r="G379" i="2"/>
  <c r="F379" i="2"/>
  <c r="E379" i="2"/>
  <c r="G378" i="2"/>
  <c r="F378" i="2"/>
  <c r="E378" i="2"/>
  <c r="G377" i="2"/>
  <c r="F377" i="2"/>
  <c r="E377" i="2"/>
  <c r="G376" i="2"/>
  <c r="F376" i="2"/>
  <c r="E376" i="2"/>
  <c r="G375" i="2"/>
  <c r="F375" i="2"/>
  <c r="E375" i="2"/>
  <c r="G374" i="2"/>
  <c r="F374" i="2"/>
  <c r="E374" i="2"/>
  <c r="G373" i="2"/>
  <c r="F373" i="2"/>
  <c r="E373" i="2"/>
  <c r="G372" i="2"/>
  <c r="F372" i="2"/>
  <c r="E372" i="2"/>
  <c r="G371" i="2"/>
  <c r="F371" i="2"/>
  <c r="E371" i="2"/>
  <c r="G370" i="2"/>
  <c r="F370" i="2"/>
  <c r="E370" i="2"/>
  <c r="G369" i="2"/>
  <c r="F369" i="2"/>
  <c r="E369" i="2"/>
  <c r="G368" i="2"/>
  <c r="F368" i="2"/>
  <c r="E368" i="2"/>
  <c r="G367" i="2"/>
  <c r="F367" i="2"/>
  <c r="E367" i="2"/>
  <c r="G366" i="2"/>
  <c r="F366" i="2"/>
  <c r="E366" i="2"/>
  <c r="G365" i="2"/>
  <c r="F365" i="2"/>
  <c r="E365" i="2"/>
  <c r="G364" i="2"/>
  <c r="F364" i="2"/>
  <c r="E364" i="2"/>
  <c r="G363" i="2"/>
  <c r="F363" i="2"/>
  <c r="E363" i="2"/>
  <c r="G362" i="2"/>
  <c r="F362" i="2"/>
  <c r="E362" i="2"/>
  <c r="G361" i="2"/>
  <c r="F361" i="2"/>
  <c r="E361" i="2"/>
  <c r="G360" i="2"/>
  <c r="F360" i="2"/>
  <c r="E360" i="2"/>
  <c r="G359" i="2"/>
  <c r="F359" i="2"/>
  <c r="E359" i="2"/>
  <c r="G358" i="2"/>
  <c r="F358" i="2"/>
  <c r="E358" i="2"/>
  <c r="G357" i="2"/>
  <c r="F357" i="2"/>
  <c r="E357" i="2"/>
  <c r="G356" i="2"/>
  <c r="F356" i="2"/>
  <c r="E356" i="2"/>
  <c r="G355" i="2"/>
  <c r="F355" i="2"/>
  <c r="E355" i="2"/>
  <c r="G354" i="2"/>
  <c r="F354" i="2"/>
  <c r="E354" i="2"/>
  <c r="G353" i="2"/>
  <c r="F353" i="2"/>
  <c r="E353" i="2"/>
  <c r="G352" i="2"/>
  <c r="F352" i="2"/>
  <c r="E352" i="2"/>
  <c r="G351" i="2"/>
  <c r="F351" i="2"/>
  <c r="E351" i="2"/>
  <c r="G350" i="2"/>
  <c r="F350" i="2"/>
  <c r="E350" i="2"/>
  <c r="G349" i="2"/>
  <c r="F349" i="2"/>
  <c r="E349" i="2"/>
  <c r="G348" i="2"/>
  <c r="F348" i="2"/>
  <c r="E348" i="2"/>
  <c r="G347" i="2"/>
  <c r="F347" i="2"/>
  <c r="E347" i="2"/>
  <c r="G346" i="2"/>
  <c r="F346" i="2"/>
  <c r="E346" i="2"/>
  <c r="G345" i="2"/>
  <c r="F345" i="2"/>
  <c r="E345" i="2"/>
  <c r="G344" i="2"/>
  <c r="F344" i="2"/>
  <c r="E344" i="2"/>
  <c r="G343" i="2"/>
  <c r="F343" i="2"/>
  <c r="E343" i="2"/>
  <c r="G342" i="2"/>
  <c r="F342" i="2"/>
  <c r="E342" i="2"/>
  <c r="G341" i="2"/>
  <c r="F341" i="2"/>
  <c r="E341" i="2"/>
  <c r="G340" i="2"/>
  <c r="F340" i="2"/>
  <c r="E340" i="2"/>
  <c r="G339" i="2"/>
  <c r="F339" i="2"/>
  <c r="E339" i="2"/>
  <c r="G338" i="2"/>
  <c r="F338" i="2"/>
  <c r="E338" i="2"/>
  <c r="G337" i="2"/>
  <c r="F337" i="2"/>
  <c r="E337" i="2"/>
  <c r="G336" i="2"/>
  <c r="F336" i="2"/>
  <c r="E336" i="2"/>
  <c r="G335" i="2"/>
  <c r="F335" i="2"/>
  <c r="E335" i="2"/>
  <c r="G334" i="2"/>
  <c r="F334" i="2"/>
  <c r="E334" i="2"/>
  <c r="G333" i="2"/>
  <c r="F333" i="2"/>
  <c r="E333" i="2"/>
  <c r="G332" i="2"/>
  <c r="F332" i="2"/>
  <c r="E332" i="2"/>
  <c r="G331" i="2"/>
  <c r="F331" i="2"/>
  <c r="E331" i="2"/>
  <c r="G330" i="2"/>
  <c r="F330" i="2"/>
  <c r="E330" i="2"/>
  <c r="G329" i="2"/>
  <c r="F329" i="2"/>
  <c r="E329" i="2"/>
  <c r="G328" i="2"/>
  <c r="F328" i="2"/>
  <c r="E328" i="2"/>
  <c r="G327" i="2"/>
  <c r="F327" i="2"/>
  <c r="E327" i="2"/>
  <c r="G326" i="2"/>
  <c r="F326" i="2"/>
  <c r="E326" i="2"/>
  <c r="G325" i="2"/>
  <c r="F325" i="2"/>
  <c r="E325" i="2"/>
  <c r="G324" i="2"/>
  <c r="F324" i="2"/>
  <c r="E324" i="2"/>
  <c r="G323" i="2"/>
  <c r="F323" i="2"/>
  <c r="E323" i="2"/>
  <c r="G322" i="2"/>
  <c r="F322" i="2"/>
  <c r="E322" i="2"/>
  <c r="G321" i="2"/>
  <c r="F321" i="2"/>
  <c r="E321" i="2"/>
  <c r="G320" i="2"/>
  <c r="F320" i="2"/>
  <c r="E320" i="2"/>
  <c r="G319" i="2"/>
  <c r="F319" i="2"/>
  <c r="E319" i="2"/>
  <c r="G318" i="2"/>
  <c r="F318" i="2"/>
  <c r="E318" i="2"/>
  <c r="G317" i="2"/>
  <c r="F317" i="2"/>
  <c r="E317" i="2"/>
  <c r="G316" i="2"/>
  <c r="F316" i="2"/>
  <c r="E316" i="2"/>
  <c r="G315" i="2"/>
  <c r="F315" i="2"/>
  <c r="E315" i="2"/>
  <c r="G314" i="2"/>
  <c r="F314" i="2"/>
  <c r="E314" i="2"/>
  <c r="G313" i="2"/>
  <c r="F313" i="2"/>
  <c r="E313" i="2"/>
  <c r="G312" i="2"/>
  <c r="F312" i="2"/>
  <c r="E312" i="2"/>
  <c r="G311" i="2"/>
  <c r="F311" i="2"/>
  <c r="E311" i="2"/>
  <c r="G310" i="2"/>
  <c r="F310" i="2"/>
  <c r="E310" i="2"/>
  <c r="G309" i="2"/>
  <c r="F309" i="2"/>
  <c r="E309" i="2"/>
  <c r="G308" i="2"/>
  <c r="F308" i="2"/>
  <c r="E308" i="2"/>
  <c r="G307" i="2"/>
  <c r="F307" i="2"/>
  <c r="E307" i="2"/>
  <c r="G306" i="2"/>
  <c r="F306" i="2"/>
  <c r="E306" i="2"/>
  <c r="G305" i="2"/>
  <c r="F305" i="2"/>
  <c r="E305" i="2"/>
  <c r="G304" i="2"/>
  <c r="F304" i="2"/>
  <c r="E304" i="2"/>
  <c r="G303" i="2"/>
  <c r="F303" i="2"/>
  <c r="E303" i="2"/>
  <c r="G302" i="2"/>
  <c r="F302" i="2"/>
  <c r="E302" i="2"/>
  <c r="G301" i="2"/>
  <c r="F301" i="2"/>
  <c r="E301" i="2"/>
  <c r="G300" i="2"/>
  <c r="F300" i="2"/>
  <c r="E300" i="2"/>
  <c r="G299" i="2"/>
  <c r="F299" i="2"/>
  <c r="E299" i="2"/>
  <c r="G298" i="2"/>
  <c r="F298" i="2"/>
  <c r="E298" i="2"/>
  <c r="G297" i="2"/>
  <c r="F297" i="2"/>
  <c r="E297" i="2"/>
  <c r="G296" i="2"/>
  <c r="F296" i="2"/>
  <c r="E296" i="2"/>
  <c r="G295" i="2"/>
  <c r="F295" i="2"/>
  <c r="E295" i="2"/>
  <c r="G294" i="2"/>
  <c r="F294" i="2"/>
  <c r="E294" i="2"/>
  <c r="G293" i="2"/>
  <c r="F293" i="2"/>
  <c r="E293" i="2"/>
  <c r="G292" i="2"/>
  <c r="F292" i="2"/>
  <c r="E292" i="2"/>
  <c r="G291" i="2"/>
  <c r="F291" i="2"/>
  <c r="E291" i="2"/>
  <c r="G290" i="2"/>
  <c r="F290" i="2"/>
  <c r="E290" i="2"/>
  <c r="G289" i="2"/>
  <c r="F289" i="2"/>
  <c r="E289" i="2"/>
  <c r="G288" i="2"/>
  <c r="F288" i="2"/>
  <c r="E288" i="2"/>
  <c r="G287" i="2"/>
  <c r="F287" i="2"/>
  <c r="E287" i="2"/>
  <c r="G286" i="2"/>
  <c r="F286" i="2"/>
  <c r="E286" i="2"/>
  <c r="G285" i="2"/>
  <c r="F285" i="2"/>
  <c r="E285" i="2"/>
  <c r="G284" i="2"/>
  <c r="F284" i="2"/>
  <c r="E284" i="2"/>
  <c r="G283" i="2"/>
  <c r="F283" i="2"/>
  <c r="E283" i="2"/>
  <c r="G282" i="2"/>
  <c r="F282" i="2"/>
  <c r="E282" i="2"/>
  <c r="G281" i="2"/>
  <c r="F281" i="2"/>
  <c r="E281" i="2"/>
  <c r="G280" i="2"/>
  <c r="F280" i="2"/>
  <c r="E280" i="2"/>
  <c r="G279" i="2"/>
  <c r="F279" i="2"/>
  <c r="E279" i="2"/>
  <c r="G278" i="2"/>
  <c r="F278" i="2"/>
  <c r="E278" i="2"/>
  <c r="G277" i="2"/>
  <c r="F277" i="2"/>
  <c r="E277" i="2"/>
  <c r="G276" i="2"/>
  <c r="F276" i="2"/>
  <c r="E276" i="2"/>
  <c r="G275" i="2"/>
  <c r="F275" i="2"/>
  <c r="E275" i="2"/>
  <c r="G274" i="2"/>
  <c r="F274" i="2"/>
  <c r="E274" i="2"/>
  <c r="G273" i="2"/>
  <c r="F273" i="2"/>
  <c r="E273" i="2"/>
  <c r="G272" i="2"/>
  <c r="F272" i="2"/>
  <c r="E272" i="2"/>
  <c r="G271" i="2"/>
  <c r="F271" i="2"/>
  <c r="E271" i="2"/>
  <c r="G270" i="2"/>
  <c r="F270" i="2"/>
  <c r="E270" i="2"/>
  <c r="G269" i="2"/>
  <c r="F269" i="2"/>
  <c r="E269" i="2"/>
  <c r="G268" i="2"/>
  <c r="F268" i="2"/>
  <c r="E268" i="2"/>
  <c r="G267" i="2"/>
  <c r="F267" i="2"/>
  <c r="E267" i="2"/>
  <c r="G266" i="2"/>
  <c r="F266" i="2"/>
  <c r="E266" i="2"/>
  <c r="G265" i="2"/>
  <c r="F265" i="2"/>
  <c r="E265" i="2"/>
  <c r="G264" i="2"/>
  <c r="F264" i="2"/>
  <c r="E264" i="2"/>
  <c r="G263" i="2"/>
  <c r="F263" i="2"/>
  <c r="E263" i="2"/>
  <c r="G262" i="2"/>
  <c r="F262" i="2"/>
  <c r="E262" i="2"/>
  <c r="G261" i="2"/>
  <c r="F261" i="2"/>
  <c r="E261" i="2"/>
  <c r="G260" i="2"/>
  <c r="F260" i="2"/>
  <c r="E260" i="2"/>
  <c r="G259" i="2"/>
  <c r="F259" i="2"/>
  <c r="E259" i="2"/>
  <c r="G258" i="2"/>
  <c r="F258" i="2"/>
  <c r="E258" i="2"/>
  <c r="G257" i="2"/>
  <c r="F257" i="2"/>
  <c r="E257" i="2"/>
  <c r="G256" i="2"/>
  <c r="F256" i="2"/>
  <c r="E256" i="2"/>
  <c r="G255" i="2"/>
  <c r="F255" i="2"/>
  <c r="E255" i="2"/>
  <c r="G254" i="2"/>
  <c r="F254" i="2"/>
  <c r="E254" i="2"/>
  <c r="G253" i="2"/>
  <c r="F253" i="2"/>
  <c r="E253" i="2"/>
  <c r="G252" i="2"/>
  <c r="F252" i="2"/>
  <c r="E252" i="2"/>
  <c r="G251" i="2"/>
  <c r="F251" i="2"/>
  <c r="E251" i="2"/>
  <c r="G250" i="2"/>
  <c r="F250" i="2"/>
  <c r="E250" i="2"/>
  <c r="G249" i="2"/>
  <c r="F249" i="2"/>
  <c r="E249" i="2"/>
  <c r="G248" i="2"/>
  <c r="F248" i="2"/>
  <c r="E248" i="2"/>
  <c r="G247" i="2"/>
  <c r="F247" i="2"/>
  <c r="E247" i="2"/>
  <c r="G246" i="2"/>
  <c r="F246" i="2"/>
  <c r="E246" i="2"/>
  <c r="G245" i="2"/>
  <c r="F245" i="2"/>
  <c r="E245" i="2"/>
  <c r="G244" i="2"/>
  <c r="F244" i="2"/>
  <c r="E244" i="2"/>
  <c r="G243" i="2"/>
  <c r="F243" i="2"/>
  <c r="E243" i="2"/>
  <c r="G242" i="2"/>
  <c r="F242" i="2"/>
  <c r="E242" i="2"/>
  <c r="G241" i="2"/>
  <c r="F241" i="2"/>
  <c r="E241" i="2"/>
  <c r="G240" i="2"/>
  <c r="F240" i="2"/>
  <c r="E240" i="2"/>
  <c r="G239" i="2"/>
  <c r="F239" i="2"/>
  <c r="E239" i="2"/>
  <c r="G238" i="2"/>
  <c r="F238" i="2"/>
  <c r="E238" i="2"/>
  <c r="G237" i="2"/>
  <c r="F237" i="2"/>
  <c r="E237" i="2"/>
  <c r="G236" i="2"/>
  <c r="F236" i="2"/>
  <c r="E236" i="2"/>
  <c r="G235" i="2"/>
  <c r="F235" i="2"/>
  <c r="E235" i="2"/>
  <c r="G234" i="2"/>
  <c r="F234" i="2"/>
  <c r="E234" i="2"/>
  <c r="G233" i="2"/>
  <c r="F233" i="2"/>
  <c r="E233" i="2"/>
  <c r="G232" i="2"/>
  <c r="F232" i="2"/>
  <c r="E232" i="2"/>
  <c r="G231" i="2"/>
  <c r="F231" i="2"/>
  <c r="E231" i="2"/>
  <c r="G230" i="2"/>
  <c r="F230" i="2"/>
  <c r="E230" i="2"/>
  <c r="G229" i="2"/>
  <c r="F229" i="2"/>
  <c r="E229" i="2"/>
  <c r="G228" i="2"/>
  <c r="F228" i="2"/>
  <c r="E228" i="2"/>
  <c r="G227" i="2"/>
  <c r="F227" i="2"/>
  <c r="E227" i="2"/>
  <c r="G226" i="2"/>
  <c r="F226" i="2"/>
  <c r="E226" i="2"/>
  <c r="G225" i="2"/>
  <c r="F225" i="2"/>
  <c r="E225" i="2"/>
  <c r="G224" i="2"/>
  <c r="F224" i="2"/>
  <c r="E224" i="2"/>
  <c r="G223" i="2"/>
  <c r="F223" i="2"/>
  <c r="E223" i="2"/>
  <c r="G222" i="2"/>
  <c r="F222" i="2"/>
  <c r="E222" i="2"/>
  <c r="G221" i="2"/>
  <c r="F221" i="2"/>
  <c r="E221" i="2"/>
  <c r="G220" i="2"/>
  <c r="F220" i="2"/>
  <c r="E220" i="2"/>
  <c r="G219" i="2"/>
  <c r="F219" i="2"/>
  <c r="E219" i="2"/>
  <c r="G218" i="2"/>
  <c r="F218" i="2"/>
  <c r="E218" i="2"/>
  <c r="G217" i="2"/>
  <c r="F217" i="2"/>
  <c r="E217" i="2"/>
  <c r="G216" i="2"/>
  <c r="F216" i="2"/>
  <c r="E216" i="2"/>
  <c r="G215" i="2"/>
  <c r="F215" i="2"/>
  <c r="E215" i="2"/>
  <c r="G214" i="2"/>
  <c r="F214" i="2"/>
  <c r="E214" i="2"/>
  <c r="G213" i="2"/>
  <c r="F213" i="2"/>
  <c r="E213" i="2"/>
  <c r="G212" i="2"/>
  <c r="F212" i="2"/>
  <c r="E212" i="2"/>
  <c r="G211" i="2"/>
  <c r="F211" i="2"/>
  <c r="E211" i="2"/>
  <c r="G210" i="2"/>
  <c r="F210" i="2"/>
  <c r="E210" i="2"/>
  <c r="G209" i="2"/>
  <c r="F209" i="2"/>
  <c r="E209" i="2"/>
  <c r="G208" i="2"/>
  <c r="F208" i="2"/>
  <c r="E208" i="2"/>
  <c r="G207" i="2"/>
  <c r="F207" i="2"/>
  <c r="E207" i="2"/>
  <c r="G206" i="2"/>
  <c r="F206" i="2"/>
  <c r="E206" i="2"/>
  <c r="G205" i="2"/>
  <c r="F205" i="2"/>
  <c r="E205" i="2"/>
  <c r="G204" i="2"/>
  <c r="F204" i="2"/>
  <c r="E204" i="2"/>
  <c r="G203" i="2"/>
  <c r="F203" i="2"/>
  <c r="E203" i="2"/>
  <c r="G202" i="2"/>
  <c r="F202" i="2"/>
  <c r="E202" i="2"/>
  <c r="G201" i="2"/>
  <c r="F201" i="2"/>
  <c r="E201" i="2"/>
  <c r="G200" i="2"/>
  <c r="F200" i="2"/>
  <c r="E200" i="2"/>
  <c r="G199" i="2"/>
  <c r="F199" i="2"/>
  <c r="E199" i="2"/>
  <c r="G198" i="2"/>
  <c r="F198" i="2"/>
  <c r="E198" i="2"/>
  <c r="G197" i="2"/>
  <c r="F197" i="2"/>
  <c r="E197" i="2"/>
  <c r="G196" i="2"/>
  <c r="F196" i="2"/>
  <c r="E196" i="2"/>
  <c r="G195" i="2"/>
  <c r="F195" i="2"/>
  <c r="E195" i="2"/>
  <c r="G194" i="2"/>
  <c r="F194" i="2"/>
  <c r="E194" i="2"/>
  <c r="G193" i="2"/>
  <c r="F193" i="2"/>
  <c r="E193" i="2"/>
  <c r="G192" i="2"/>
  <c r="F192" i="2"/>
  <c r="E192" i="2"/>
  <c r="G191" i="2"/>
  <c r="F191" i="2"/>
  <c r="E191" i="2"/>
  <c r="G190" i="2"/>
  <c r="F190" i="2"/>
  <c r="E190" i="2"/>
  <c r="G189" i="2"/>
  <c r="F189" i="2"/>
  <c r="E189" i="2"/>
  <c r="G188" i="2"/>
  <c r="F188" i="2"/>
  <c r="E188" i="2"/>
  <c r="G187" i="2"/>
  <c r="F187" i="2"/>
  <c r="E187" i="2"/>
  <c r="G186" i="2"/>
  <c r="F186" i="2"/>
  <c r="E186" i="2"/>
  <c r="G185" i="2"/>
  <c r="F185" i="2"/>
  <c r="E185" i="2"/>
  <c r="G184" i="2"/>
  <c r="F184" i="2"/>
  <c r="E184" i="2"/>
  <c r="G183" i="2"/>
  <c r="F183" i="2"/>
  <c r="E183" i="2"/>
  <c r="G182" i="2"/>
  <c r="F182" i="2"/>
  <c r="E182" i="2"/>
  <c r="G181" i="2"/>
  <c r="F181" i="2"/>
  <c r="E181" i="2"/>
  <c r="G180" i="2"/>
  <c r="F180" i="2"/>
  <c r="E180" i="2"/>
  <c r="G179" i="2"/>
  <c r="F179" i="2"/>
  <c r="E179" i="2"/>
  <c r="G178" i="2"/>
  <c r="F178" i="2"/>
  <c r="E178" i="2"/>
  <c r="G177" i="2"/>
  <c r="F177" i="2"/>
  <c r="E177" i="2"/>
  <c r="G176" i="2"/>
  <c r="F176" i="2"/>
  <c r="E176" i="2"/>
  <c r="G175" i="2"/>
  <c r="F175" i="2"/>
  <c r="E175" i="2"/>
  <c r="G174" i="2"/>
  <c r="F174" i="2"/>
  <c r="E174" i="2"/>
  <c r="G173" i="2"/>
  <c r="F173" i="2"/>
  <c r="E173" i="2"/>
  <c r="G172" i="2"/>
  <c r="F172" i="2"/>
  <c r="E172" i="2"/>
  <c r="G171" i="2"/>
  <c r="F171" i="2"/>
  <c r="E171" i="2"/>
  <c r="G170" i="2"/>
  <c r="F170" i="2"/>
  <c r="E170" i="2"/>
  <c r="G169" i="2"/>
  <c r="F169" i="2"/>
  <c r="E169" i="2"/>
  <c r="G168" i="2"/>
  <c r="F168" i="2"/>
  <c r="E168" i="2"/>
  <c r="G167" i="2"/>
  <c r="F167" i="2"/>
  <c r="E167" i="2"/>
  <c r="G166" i="2"/>
  <c r="F166" i="2"/>
  <c r="E166" i="2"/>
  <c r="G165" i="2"/>
  <c r="F165" i="2"/>
  <c r="E165" i="2"/>
  <c r="G164" i="2"/>
  <c r="F164" i="2"/>
  <c r="E164" i="2"/>
  <c r="G163" i="2"/>
  <c r="F163" i="2"/>
  <c r="E163" i="2"/>
  <c r="G162" i="2"/>
  <c r="F162" i="2"/>
  <c r="E162" i="2"/>
  <c r="G161" i="2"/>
  <c r="F161" i="2"/>
  <c r="E161" i="2"/>
  <c r="G160" i="2"/>
  <c r="F160" i="2"/>
  <c r="E160" i="2"/>
  <c r="G159" i="2"/>
  <c r="F159" i="2"/>
  <c r="E159" i="2"/>
  <c r="G158" i="2"/>
  <c r="F158" i="2"/>
  <c r="E158" i="2"/>
  <c r="G157" i="2"/>
  <c r="F157" i="2"/>
  <c r="E157" i="2"/>
  <c r="G156" i="2"/>
  <c r="F156" i="2"/>
  <c r="E156" i="2"/>
  <c r="G155" i="2"/>
  <c r="F155" i="2"/>
  <c r="E155" i="2"/>
  <c r="G154" i="2"/>
  <c r="F154" i="2"/>
  <c r="E154" i="2"/>
  <c r="G153" i="2"/>
  <c r="F153" i="2"/>
  <c r="E153" i="2"/>
  <c r="G152" i="2"/>
  <c r="F152" i="2"/>
  <c r="E152" i="2"/>
  <c r="G151" i="2"/>
  <c r="F151" i="2"/>
  <c r="E151" i="2"/>
  <c r="G150" i="2"/>
  <c r="F150" i="2"/>
  <c r="E150" i="2"/>
  <c r="G149" i="2"/>
  <c r="F149" i="2"/>
  <c r="E149" i="2"/>
  <c r="G148" i="2"/>
  <c r="F148" i="2"/>
  <c r="E148" i="2"/>
  <c r="G147" i="2"/>
  <c r="F147" i="2"/>
  <c r="E147" i="2"/>
  <c r="G146" i="2"/>
  <c r="F146" i="2"/>
  <c r="E146" i="2"/>
  <c r="G145" i="2"/>
  <c r="F145" i="2"/>
  <c r="E145" i="2"/>
  <c r="G144" i="2"/>
  <c r="F144" i="2"/>
  <c r="E144" i="2"/>
  <c r="G143" i="2"/>
  <c r="F143" i="2"/>
  <c r="E143" i="2"/>
  <c r="G142" i="2"/>
  <c r="F142" i="2"/>
  <c r="E142" i="2"/>
  <c r="G141" i="2"/>
  <c r="F141" i="2"/>
  <c r="E141" i="2"/>
  <c r="G140" i="2"/>
  <c r="F140" i="2"/>
  <c r="E140" i="2"/>
  <c r="G139" i="2"/>
  <c r="F139" i="2"/>
  <c r="E139" i="2"/>
  <c r="G138" i="2"/>
  <c r="F138" i="2"/>
  <c r="E138" i="2"/>
  <c r="G137" i="2"/>
  <c r="F137" i="2"/>
  <c r="E137" i="2"/>
  <c r="G136" i="2"/>
  <c r="F136" i="2"/>
  <c r="E136" i="2"/>
  <c r="G135" i="2"/>
  <c r="F135" i="2"/>
  <c r="E135" i="2"/>
  <c r="G134" i="2"/>
  <c r="F134" i="2"/>
  <c r="E134" i="2"/>
  <c r="G133" i="2"/>
  <c r="F133" i="2"/>
  <c r="E133" i="2"/>
  <c r="G132" i="2"/>
  <c r="F132" i="2"/>
  <c r="E132" i="2"/>
  <c r="G131" i="2"/>
  <c r="F131" i="2"/>
  <c r="E131" i="2"/>
  <c r="G130" i="2"/>
  <c r="F130" i="2"/>
  <c r="E130" i="2"/>
  <c r="G129" i="2"/>
  <c r="F129" i="2"/>
  <c r="E129" i="2"/>
  <c r="G128" i="2"/>
  <c r="F128" i="2"/>
  <c r="E128" i="2"/>
  <c r="G127" i="2"/>
  <c r="F127" i="2"/>
  <c r="E127" i="2"/>
  <c r="G126" i="2"/>
  <c r="F126" i="2"/>
  <c r="E126" i="2"/>
  <c r="G125" i="2"/>
  <c r="F125" i="2"/>
  <c r="E125" i="2"/>
  <c r="G124" i="2"/>
  <c r="F124" i="2"/>
  <c r="E124" i="2"/>
  <c r="G123" i="2"/>
  <c r="F123" i="2"/>
  <c r="E123" i="2"/>
  <c r="G122" i="2"/>
  <c r="F122" i="2"/>
  <c r="E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G114" i="2"/>
  <c r="F114" i="2"/>
  <c r="E114" i="2"/>
  <c r="G113" i="2"/>
  <c r="F113" i="2"/>
  <c r="E113" i="2"/>
  <c r="G112" i="2"/>
  <c r="F112" i="2"/>
  <c r="E112" i="2"/>
  <c r="G111" i="2"/>
  <c r="F111" i="2"/>
  <c r="E111" i="2"/>
  <c r="G110" i="2"/>
  <c r="F110" i="2"/>
  <c r="E110" i="2"/>
  <c r="G109" i="2"/>
  <c r="F109" i="2"/>
  <c r="E109" i="2"/>
  <c r="G108" i="2"/>
  <c r="F108" i="2"/>
  <c r="E108" i="2"/>
  <c r="G107" i="2"/>
  <c r="F107" i="2"/>
  <c r="E107" i="2"/>
  <c r="G106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95" i="2"/>
  <c r="F95" i="2"/>
  <c r="E95" i="2"/>
  <c r="G94" i="2"/>
  <c r="F94" i="2"/>
  <c r="E94" i="2"/>
  <c r="G93" i="2"/>
  <c r="F93" i="2"/>
  <c r="E93" i="2"/>
  <c r="G92" i="2"/>
  <c r="F92" i="2"/>
  <c r="E92" i="2"/>
  <c r="G91" i="2"/>
  <c r="F91" i="2"/>
  <c r="E91" i="2"/>
  <c r="G90" i="2"/>
  <c r="F90" i="2"/>
  <c r="E90" i="2"/>
  <c r="G89" i="2"/>
  <c r="F89" i="2"/>
  <c r="E89" i="2"/>
  <c r="G88" i="2"/>
  <c r="F88" i="2"/>
  <c r="E88" i="2"/>
  <c r="G87" i="2"/>
  <c r="F87" i="2"/>
  <c r="E87" i="2"/>
  <c r="G86" i="2"/>
  <c r="F86" i="2"/>
  <c r="E86" i="2"/>
  <c r="G85" i="2"/>
  <c r="F85" i="2"/>
  <c r="E85" i="2"/>
  <c r="G84" i="2"/>
  <c r="F84" i="2"/>
  <c r="E84" i="2"/>
  <c r="G83" i="2"/>
  <c r="F83" i="2"/>
  <c r="E83" i="2"/>
  <c r="G82" i="2"/>
  <c r="F82" i="2"/>
  <c r="E82" i="2"/>
  <c r="G81" i="2"/>
  <c r="F81" i="2"/>
  <c r="E81" i="2"/>
  <c r="G80" i="2"/>
  <c r="F80" i="2"/>
  <c r="E80" i="2"/>
  <c r="G79" i="2"/>
  <c r="F79" i="2"/>
  <c r="E79" i="2"/>
  <c r="G78" i="2"/>
  <c r="F78" i="2"/>
  <c r="E78" i="2"/>
  <c r="G77" i="2"/>
  <c r="F77" i="2"/>
  <c r="E77" i="2"/>
  <c r="G76" i="2"/>
  <c r="F76" i="2"/>
  <c r="E76" i="2"/>
  <c r="G75" i="2"/>
  <c r="F75" i="2"/>
  <c r="E75" i="2"/>
  <c r="G74" i="2"/>
  <c r="F74" i="2"/>
  <c r="E74" i="2"/>
  <c r="G73" i="2"/>
  <c r="F73" i="2"/>
  <c r="E73" i="2"/>
  <c r="G72" i="2"/>
  <c r="F72" i="2"/>
  <c r="E72" i="2"/>
  <c r="G71" i="2"/>
  <c r="F71" i="2"/>
  <c r="E71" i="2"/>
  <c r="G70" i="2"/>
  <c r="F70" i="2"/>
  <c r="E70" i="2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G2" i="2"/>
  <c r="F2" i="2"/>
  <c r="D16" i="1"/>
  <c r="D10" i="1"/>
  <c r="D15" i="1" s="1"/>
  <c r="C10" i="1"/>
  <c r="C16" i="1" s="1"/>
  <c r="B10" i="1"/>
  <c r="C9" i="1"/>
  <c r="B9" i="1"/>
  <c r="B8" i="1"/>
  <c r="B15" i="1" l="1"/>
  <c r="E15" i="1" s="1"/>
  <c r="F15" i="1" s="1"/>
  <c r="B17" i="1"/>
  <c r="C15" i="1"/>
  <c r="C17" i="1"/>
  <c r="B16" i="1"/>
  <c r="E16" i="1" s="1"/>
  <c r="F16" i="1" s="1"/>
  <c r="D17" i="1"/>
  <c r="G15" i="1" l="1"/>
  <c r="B29" i="1"/>
  <c r="G16" i="1"/>
  <c r="B30" i="1"/>
  <c r="E17" i="1"/>
  <c r="F17" i="1" s="1"/>
  <c r="B31" i="1" l="1"/>
  <c r="G17" i="1"/>
  <c r="H354" i="2"/>
  <c r="H322" i="2"/>
  <c r="H284" i="2"/>
  <c r="H274" i="2"/>
  <c r="H346" i="2"/>
  <c r="H314" i="2"/>
  <c r="H378" i="2"/>
  <c r="H370" i="2"/>
  <c r="H338" i="2"/>
  <c r="H268" i="2"/>
  <c r="H265" i="2"/>
  <c r="H252" i="2"/>
  <c r="H237" i="2"/>
  <c r="H124" i="2"/>
  <c r="H121" i="2"/>
  <c r="H348" i="2"/>
  <c r="H309" i="2"/>
  <c r="H91" i="2"/>
  <c r="H82" i="2"/>
  <c r="H41" i="2"/>
  <c r="H365" i="2"/>
  <c r="H211" i="2"/>
  <c r="H179" i="2"/>
  <c r="H147" i="2"/>
  <c r="H130" i="2"/>
  <c r="H88" i="2"/>
  <c r="H76" i="2"/>
  <c r="H70" i="2"/>
  <c r="H67" i="2"/>
  <c r="H26" i="2"/>
  <c r="H373" i="2"/>
  <c r="H330" i="2"/>
  <c r="H203" i="2"/>
  <c r="H123" i="2"/>
  <c r="H105" i="2"/>
  <c r="H52" i="2"/>
  <c r="H43" i="2"/>
  <c r="H163" i="2"/>
  <c r="H156" i="2"/>
  <c r="H122" i="2"/>
  <c r="H308" i="2"/>
  <c r="H300" i="2"/>
  <c r="H243" i="2"/>
  <c r="H182" i="2"/>
  <c r="H150" i="2"/>
  <c r="H96" i="2"/>
  <c r="H253" i="2"/>
  <c r="H238" i="2"/>
  <c r="H209" i="2"/>
  <c r="H195" i="2"/>
  <c r="H188" i="2"/>
  <c r="H145" i="2"/>
  <c r="H51" i="2"/>
  <c r="H45" i="2"/>
  <c r="H316" i="2"/>
  <c r="H214" i="2"/>
  <c r="H132" i="2"/>
  <c r="H341" i="2"/>
  <c r="H260" i="2"/>
  <c r="H116" i="2"/>
  <c r="H57" i="2"/>
  <c r="H217" i="2"/>
  <c r="H125" i="2"/>
  <c r="H372" i="2"/>
  <c r="H333" i="2"/>
  <c r="H250" i="2"/>
  <c r="H235" i="2"/>
  <c r="H206" i="2"/>
  <c r="H72" i="2"/>
  <c r="H60" i="2"/>
  <c r="H54" i="2"/>
  <c r="H185" i="2"/>
  <c r="H153" i="2"/>
  <c r="H107" i="2"/>
  <c r="H66" i="2"/>
  <c r="H177" i="2"/>
  <c r="H113" i="2"/>
  <c r="H104" i="2"/>
  <c r="H98" i="2"/>
  <c r="H92" i="2"/>
  <c r="H349" i="2"/>
  <c r="H205" i="2"/>
  <c r="H198" i="2"/>
  <c r="H173" i="2"/>
  <c r="H166" i="2"/>
  <c r="H141" i="2"/>
  <c r="H134" i="2"/>
  <c r="H131" i="2"/>
  <c r="H128" i="2"/>
  <c r="H89" i="2"/>
  <c r="H86" i="2"/>
  <c r="H80" i="2"/>
  <c r="H68" i="2"/>
  <c r="H36" i="2"/>
  <c r="H33" i="2"/>
  <c r="H340" i="2"/>
  <c r="H306" i="2"/>
  <c r="H290" i="2"/>
  <c r="H241" i="2"/>
  <c r="H227" i="2"/>
  <c r="H220" i="2"/>
  <c r="H77" i="2"/>
  <c r="H362" i="2"/>
  <c r="H298" i="2"/>
  <c r="H259" i="2"/>
  <c r="H201" i="2"/>
  <c r="H74" i="2"/>
  <c r="H42" i="2"/>
  <c r="H4" i="2"/>
  <c r="H24" i="2"/>
  <c r="H109" i="2"/>
  <c r="H18" i="2"/>
  <c r="H115" i="2"/>
  <c r="H59" i="2"/>
  <c r="H73" i="2"/>
  <c r="H226" i="2"/>
  <c r="H106" i="2"/>
  <c r="H137" i="2"/>
  <c r="H23" i="2"/>
  <c r="H10" i="2"/>
  <c r="H108" i="2"/>
  <c r="H48" i="2"/>
  <c r="H169" i="2"/>
  <c r="H65" i="2"/>
  <c r="H30" i="2"/>
  <c r="H7" i="2"/>
  <c r="H22" i="2"/>
  <c r="H8" i="2"/>
  <c r="H363" i="2"/>
  <c r="H25" i="2"/>
  <c r="H307" i="2"/>
  <c r="H275" i="2"/>
  <c r="H37" i="2"/>
  <c r="H193" i="2"/>
  <c r="H207" i="2"/>
  <c r="H103" i="2"/>
  <c r="H71" i="2"/>
  <c r="H263" i="2"/>
  <c r="H264" i="2"/>
  <c r="H368" i="2"/>
  <c r="H326" i="2"/>
  <c r="H44" i="2"/>
  <c r="H94" i="2"/>
  <c r="H296" i="2"/>
  <c r="H151" i="2"/>
  <c r="H272" i="2"/>
  <c r="H358" i="2"/>
  <c r="H81" i="2"/>
  <c r="H129" i="2"/>
  <c r="H49" i="2"/>
  <c r="I49" i="2" s="1"/>
  <c r="J49" i="2" s="1"/>
  <c r="H101" i="2"/>
  <c r="H258" i="2"/>
  <c r="H187" i="2"/>
  <c r="H311" i="2"/>
  <c r="H242" i="2"/>
  <c r="H119" i="2"/>
  <c r="H273" i="2"/>
  <c r="H323" i="2"/>
  <c r="H240" i="2"/>
  <c r="H78" i="2"/>
  <c r="H229" i="2"/>
  <c r="H11" i="2"/>
  <c r="H369" i="2"/>
  <c r="H212" i="2"/>
  <c r="H355" i="2"/>
  <c r="H343" i="2"/>
  <c r="H266" i="2"/>
  <c r="H282" i="2"/>
  <c r="H328" i="2"/>
  <c r="H135" i="2"/>
  <c r="H3" i="2"/>
  <c r="H350" i="2"/>
  <c r="H184" i="2"/>
  <c r="H126" i="2"/>
  <c r="H254" i="2"/>
  <c r="H12" i="2"/>
  <c r="H2" i="2"/>
  <c r="H364" i="2"/>
  <c r="H118" i="2"/>
  <c r="H283" i="2"/>
  <c r="H379" i="2"/>
  <c r="H61" i="2"/>
  <c r="H19" i="2"/>
  <c r="H270" i="2"/>
  <c r="H199" i="2"/>
  <c r="H149" i="2"/>
  <c r="H63" i="2"/>
  <c r="H127" i="2"/>
  <c r="H305" i="2"/>
  <c r="H69" i="2"/>
  <c r="H99" i="2"/>
  <c r="H225" i="2"/>
  <c r="H366" i="2"/>
  <c r="H315" i="2"/>
  <c r="H197" i="2"/>
  <c r="H138" i="2"/>
  <c r="H262" i="2"/>
  <c r="H148" i="2"/>
  <c r="H347" i="2"/>
  <c r="H356" i="2"/>
  <c r="H194" i="2"/>
  <c r="H154" i="2"/>
  <c r="H374" i="2"/>
  <c r="H278" i="2"/>
  <c r="H376" i="2"/>
  <c r="H317" i="2"/>
  <c r="H301" i="2"/>
  <c r="H339" i="2"/>
  <c r="H276" i="2"/>
  <c r="H83" i="2"/>
  <c r="H31" i="2"/>
  <c r="H15" i="2"/>
  <c r="H38" i="2"/>
  <c r="H6" i="2"/>
  <c r="H34" i="2"/>
  <c r="H224" i="2"/>
  <c r="H287" i="2"/>
  <c r="H111" i="2"/>
  <c r="H200" i="2"/>
  <c r="H236" i="2"/>
  <c r="H140" i="2"/>
  <c r="H155" i="2"/>
  <c r="H247" i="2"/>
  <c r="H267" i="2"/>
  <c r="H144" i="2"/>
  <c r="H351" i="2"/>
  <c r="H257" i="2"/>
  <c r="H32" i="2"/>
  <c r="H120" i="2"/>
  <c r="H40" i="2"/>
  <c r="H95" i="2"/>
  <c r="H299" i="2"/>
  <c r="H222" i="2"/>
  <c r="H251" i="2"/>
  <c r="H159" i="2"/>
  <c r="H294" i="2"/>
  <c r="H176" i="2"/>
  <c r="H171" i="2"/>
  <c r="H139" i="2"/>
  <c r="H303" i="2"/>
  <c r="H269" i="2"/>
  <c r="H172" i="2"/>
  <c r="H289" i="2"/>
  <c r="H208" i="2"/>
  <c r="H58" i="2"/>
  <c r="H219" i="2"/>
  <c r="H337" i="2"/>
  <c r="H334" i="2"/>
  <c r="H183" i="2"/>
  <c r="H191" i="2"/>
  <c r="H318" i="2"/>
  <c r="H277" i="2"/>
  <c r="H279" i="2"/>
  <c r="H321" i="2"/>
  <c r="H285" i="2"/>
  <c r="H216" i="2"/>
  <c r="H192" i="2"/>
  <c r="H39" i="2"/>
  <c r="H5" i="2"/>
  <c r="H245" i="2"/>
  <c r="H291" i="2"/>
  <c r="H359" i="2"/>
  <c r="H146" i="2"/>
  <c r="H167" i="2"/>
  <c r="H20" i="2"/>
  <c r="H232" i="2"/>
  <c r="H64" i="2"/>
  <c r="H75" i="2"/>
  <c r="H320" i="2"/>
  <c r="H280" i="2"/>
  <c r="H231" i="2"/>
  <c r="H157" i="2"/>
  <c r="H110" i="2"/>
  <c r="H29" i="2"/>
  <c r="H255" i="2"/>
  <c r="H14" i="2"/>
  <c r="H210" i="2"/>
  <c r="H367" i="2"/>
  <c r="H158" i="2"/>
  <c r="H16" i="2"/>
  <c r="H170" i="2"/>
  <c r="H136" i="2"/>
  <c r="H353" i="2"/>
  <c r="H329" i="2"/>
  <c r="H228" i="2"/>
  <c r="H202" i="2"/>
  <c r="H175" i="2"/>
  <c r="H357" i="2"/>
  <c r="H295" i="2"/>
  <c r="H90" i="2"/>
  <c r="H304" i="2"/>
  <c r="H204" i="2"/>
  <c r="H246" i="2"/>
  <c r="H142" i="2"/>
  <c r="H325" i="2"/>
  <c r="H271" i="2"/>
  <c r="H50" i="2"/>
  <c r="H35" i="2"/>
  <c r="H114" i="2"/>
  <c r="H87" i="2"/>
  <c r="H293" i="2"/>
  <c r="H85" i="2"/>
  <c r="H102" i="2"/>
  <c r="H335" i="2"/>
  <c r="H223" i="2"/>
  <c r="H331" i="2"/>
  <c r="H47" i="2"/>
  <c r="H143" i="2"/>
  <c r="H56" i="2"/>
  <c r="H297" i="2"/>
  <c r="H84" i="2"/>
  <c r="H239" i="2"/>
  <c r="H336" i="2"/>
  <c r="H244" i="2"/>
  <c r="H160" i="2"/>
  <c r="H100" i="2"/>
  <c r="H221" i="2"/>
  <c r="H312" i="2"/>
  <c r="H174" i="2"/>
  <c r="H46" i="2"/>
  <c r="H248" i="2"/>
  <c r="H324" i="2"/>
  <c r="H360" i="2"/>
  <c r="H375" i="2"/>
  <c r="H181" i="2"/>
  <c r="H79" i="2"/>
  <c r="H152" i="2"/>
  <c r="H164" i="2"/>
  <c r="H310" i="2"/>
  <c r="H162" i="2"/>
  <c r="H302" i="2"/>
  <c r="H133" i="2"/>
  <c r="H215" i="2"/>
  <c r="H165" i="2"/>
  <c r="H190" i="2"/>
  <c r="H21" i="2"/>
  <c r="H292" i="2"/>
  <c r="H332" i="2"/>
  <c r="H62" i="2"/>
  <c r="H313" i="2"/>
  <c r="H345" i="2"/>
  <c r="H256" i="2"/>
  <c r="H28" i="2"/>
  <c r="H9" i="2"/>
  <c r="H377" i="2"/>
  <c r="H286" i="2"/>
  <c r="H288" i="2"/>
  <c r="H97" i="2"/>
  <c r="H178" i="2"/>
  <c r="H327" i="2"/>
  <c r="H117" i="2"/>
  <c r="H196" i="2"/>
  <c r="H342" i="2"/>
  <c r="H93" i="2"/>
  <c r="H112" i="2"/>
  <c r="H55" i="2"/>
  <c r="H344" i="2"/>
  <c r="H281" i="2"/>
  <c r="H53" i="2"/>
  <c r="H218" i="2"/>
  <c r="H180" i="2"/>
  <c r="H230" i="2"/>
  <c r="H13" i="2"/>
  <c r="H161" i="2"/>
  <c r="H234" i="2"/>
  <c r="H233" i="2"/>
  <c r="H17" i="2"/>
  <c r="H213" i="2"/>
  <c r="H27" i="2"/>
  <c r="H168" i="2"/>
  <c r="H319" i="2"/>
  <c r="H189" i="2"/>
  <c r="H261" i="2"/>
  <c r="H186" i="2"/>
  <c r="H352" i="2"/>
  <c r="H249" i="2"/>
  <c r="H371" i="2"/>
  <c r="H361" i="2"/>
  <c r="G18" i="1"/>
  <c r="B21" i="1" s="1"/>
  <c r="B23" i="1" s="1"/>
  <c r="B25" i="1" s="1"/>
  <c r="B26" i="1" s="1"/>
  <c r="F18" i="1"/>
  <c r="I26" i="2" l="1"/>
  <c r="J26" i="2" s="1"/>
  <c r="I67" i="2"/>
  <c r="J67" i="2" s="1"/>
  <c r="I70" i="2"/>
  <c r="J70" i="2" s="1"/>
  <c r="I76" i="2"/>
  <c r="J76" i="2" s="1"/>
  <c r="I88" i="2"/>
  <c r="J88" i="2" s="1"/>
  <c r="I130" i="2"/>
  <c r="J130" i="2" s="1"/>
  <c r="I147" i="2"/>
  <c r="J147" i="2" s="1"/>
  <c r="I179" i="2"/>
  <c r="J179" i="2" s="1"/>
  <c r="I6" i="2"/>
  <c r="J6" i="2" s="1"/>
  <c r="I40" i="2"/>
  <c r="J40" i="2" s="1"/>
  <c r="I165" i="2"/>
  <c r="J165" i="2" s="1"/>
  <c r="I202" i="2"/>
  <c r="J202" i="2" s="1"/>
  <c r="I171" i="2"/>
  <c r="J171" i="2" s="1"/>
  <c r="I69" i="2"/>
  <c r="J69" i="2" s="1"/>
  <c r="I44" i="2"/>
  <c r="J44" i="2" s="1"/>
  <c r="I36" i="2"/>
  <c r="J36" i="2" s="1"/>
  <c r="I96" i="2"/>
  <c r="J96" i="2" s="1"/>
  <c r="I215" i="2"/>
  <c r="J215" i="2" s="1"/>
  <c r="I228" i="2"/>
  <c r="J228" i="2" s="1"/>
  <c r="I176" i="2"/>
  <c r="J176" i="2" s="1"/>
  <c r="I305" i="2"/>
  <c r="J305" i="2" s="1"/>
  <c r="I273" i="2"/>
  <c r="J273" i="2" s="1"/>
  <c r="I4" i="2"/>
  <c r="J4" i="2" s="1"/>
  <c r="I150" i="2"/>
  <c r="J150" i="2" s="1"/>
  <c r="I97" i="2"/>
  <c r="J97" i="2" s="1"/>
  <c r="I75" i="2"/>
  <c r="J75" i="2" s="1"/>
  <c r="I288" i="2"/>
  <c r="J288" i="2" s="1"/>
  <c r="I114" i="2"/>
  <c r="J114" i="2" s="1"/>
  <c r="I318" i="2"/>
  <c r="J318" i="2" s="1"/>
  <c r="I63" i="2"/>
  <c r="J63" i="2" s="1"/>
  <c r="I264" i="2"/>
  <c r="J264" i="2" s="1"/>
  <c r="I86" i="2"/>
  <c r="J86" i="2" s="1"/>
  <c r="I66" i="2"/>
  <c r="J66" i="2" s="1"/>
  <c r="I361" i="2"/>
  <c r="J361" i="2" s="1"/>
  <c r="I162" i="2"/>
  <c r="J162" i="2" s="1"/>
  <c r="I136" i="2"/>
  <c r="J136" i="2" s="1"/>
  <c r="I251" i="2"/>
  <c r="J251" i="2" s="1"/>
  <c r="I149" i="2"/>
  <c r="J149" i="2" s="1"/>
  <c r="I263" i="2"/>
  <c r="J263" i="2" s="1"/>
  <c r="I341" i="2"/>
  <c r="J341" i="2" s="1"/>
  <c r="I180" i="2"/>
  <c r="J180" i="2" s="1"/>
  <c r="I336" i="2"/>
  <c r="J336" i="2" s="1"/>
  <c r="I20" i="2"/>
  <c r="J20" i="2" s="1"/>
  <c r="I287" i="2"/>
  <c r="J287" i="2" s="1"/>
  <c r="I328" i="2"/>
  <c r="J328" i="2" s="1"/>
  <c r="I108" i="2"/>
  <c r="J108" i="2" s="1"/>
  <c r="I132" i="2"/>
  <c r="J132" i="2" s="1"/>
  <c r="I218" i="2"/>
  <c r="J218" i="2" s="1"/>
  <c r="I239" i="2"/>
  <c r="J239" i="2" s="1"/>
  <c r="I167" i="2"/>
  <c r="J167" i="2" s="1"/>
  <c r="I224" i="2"/>
  <c r="J224" i="2" s="1"/>
  <c r="I270" i="2"/>
  <c r="J270" i="2" s="1"/>
  <c r="I103" i="2"/>
  <c r="J103" i="2" s="1"/>
  <c r="I131" i="2"/>
  <c r="J131" i="2" s="1"/>
  <c r="I185" i="2"/>
  <c r="J185" i="2" s="1"/>
  <c r="I352" i="2"/>
  <c r="J352" i="2" s="1"/>
  <c r="I152" i="2"/>
  <c r="J152" i="2" s="1"/>
  <c r="I158" i="2"/>
  <c r="J158" i="2" s="1"/>
  <c r="I134" i="2"/>
  <c r="J134" i="2" s="1"/>
  <c r="I367" i="2"/>
  <c r="J367" i="2" s="1"/>
  <c r="I327" i="2"/>
  <c r="J327" i="2" s="1"/>
  <c r="I85" i="2"/>
  <c r="J85" i="2" s="1"/>
  <c r="I321" i="2"/>
  <c r="J321" i="2" s="1"/>
  <c r="I317" i="2"/>
  <c r="J317" i="2" s="1"/>
  <c r="I323" i="2"/>
  <c r="J323" i="2" s="1"/>
  <c r="I7" i="2"/>
  <c r="J7" i="2" s="1"/>
  <c r="I217" i="2"/>
  <c r="J217" i="2" s="1"/>
  <c r="I178" i="2"/>
  <c r="J178" i="2" s="1"/>
  <c r="I293" i="2"/>
  <c r="J293" i="2" s="1"/>
  <c r="I279" i="2"/>
  <c r="J279" i="2" s="1"/>
  <c r="I140" i="2"/>
  <c r="J140" i="2" s="1"/>
  <c r="I184" i="2"/>
  <c r="J184" i="2" s="1"/>
  <c r="I326" i="2"/>
  <c r="J326" i="2" s="1"/>
  <c r="I30" i="2"/>
  <c r="J30" i="2" s="1"/>
  <c r="I68" i="2"/>
  <c r="J68" i="2" s="1"/>
  <c r="I57" i="2"/>
  <c r="J57" i="2" s="1"/>
  <c r="I161" i="2"/>
  <c r="J161" i="2" s="1"/>
  <c r="I100" i="2"/>
  <c r="J100" i="2" s="1"/>
  <c r="I329" i="2"/>
  <c r="J329" i="2" s="1"/>
  <c r="I294" i="2"/>
  <c r="J294" i="2" s="1"/>
  <c r="I236" i="2"/>
  <c r="J236" i="2" s="1"/>
  <c r="I127" i="2"/>
  <c r="J127" i="2" s="1"/>
  <c r="I119" i="2"/>
  <c r="J119" i="2" s="1"/>
  <c r="I65" i="2"/>
  <c r="J65" i="2" s="1"/>
  <c r="I177" i="2"/>
  <c r="J177" i="2" s="1"/>
  <c r="I116" i="2"/>
  <c r="J116" i="2" s="1"/>
  <c r="I13" i="2"/>
  <c r="J13" i="2" s="1"/>
  <c r="I160" i="2"/>
  <c r="J160" i="2" s="1"/>
  <c r="I64" i="2"/>
  <c r="J64" i="2" s="1"/>
  <c r="I200" i="2"/>
  <c r="J200" i="2" s="1"/>
  <c r="I3" i="2"/>
  <c r="J3" i="2" s="1"/>
  <c r="I169" i="2"/>
  <c r="J169" i="2" s="1"/>
  <c r="I243" i="2"/>
  <c r="J243" i="2" s="1"/>
  <c r="I286" i="2"/>
  <c r="J286" i="2" s="1"/>
  <c r="I35" i="2"/>
  <c r="J35" i="2" s="1"/>
  <c r="I191" i="2"/>
  <c r="J191" i="2" s="1"/>
  <c r="I154" i="2"/>
  <c r="J154" i="2" s="1"/>
  <c r="I311" i="2"/>
  <c r="J311" i="2" s="1"/>
  <c r="I201" i="2"/>
  <c r="J201" i="2" s="1"/>
  <c r="I89" i="2"/>
  <c r="J89" i="2" s="1"/>
  <c r="I300" i="2"/>
  <c r="J300" i="2" s="1"/>
  <c r="I377" i="2"/>
  <c r="J377" i="2" s="1"/>
  <c r="I50" i="2"/>
  <c r="J50" i="2" s="1"/>
  <c r="I222" i="2"/>
  <c r="J222" i="2" s="1"/>
  <c r="I199" i="2"/>
  <c r="J199" i="2" s="1"/>
  <c r="I71" i="2"/>
  <c r="J71" i="2" s="1"/>
  <c r="I128" i="2"/>
  <c r="J128" i="2" s="1"/>
  <c r="I308" i="2"/>
  <c r="J308" i="2" s="1"/>
  <c r="I9" i="2"/>
  <c r="J9" i="2" s="1"/>
  <c r="I271" i="2"/>
  <c r="J271" i="2" s="1"/>
  <c r="I299" i="2"/>
  <c r="J299" i="2" s="1"/>
  <c r="I282" i="2"/>
  <c r="J282" i="2" s="1"/>
  <c r="I10" i="2"/>
  <c r="J10" i="2" s="1"/>
  <c r="I122" i="2"/>
  <c r="J122" i="2" s="1"/>
  <c r="I53" i="2"/>
  <c r="J53" i="2" s="1"/>
  <c r="I84" i="2"/>
  <c r="J84" i="2" s="1"/>
  <c r="I337" i="2"/>
  <c r="J337" i="2" s="1"/>
  <c r="I266" i="2"/>
  <c r="J266" i="2" s="1"/>
  <c r="I359" i="2"/>
  <c r="J359" i="2" s="1"/>
  <c r="I61" i="2"/>
  <c r="J61" i="2" s="1"/>
  <c r="I219" i="2"/>
  <c r="J219" i="2" s="1"/>
  <c r="I233" i="2"/>
  <c r="J233" i="2" s="1"/>
  <c r="I312" i="2"/>
  <c r="J312" i="2" s="1"/>
  <c r="I280" i="2"/>
  <c r="J280" i="2" s="1"/>
  <c r="I155" i="2"/>
  <c r="J155" i="2" s="1"/>
  <c r="I126" i="2"/>
  <c r="J126" i="2" s="1"/>
  <c r="I24" i="2"/>
  <c r="J24" i="2" s="1"/>
  <c r="I104" i="2"/>
  <c r="J104" i="2" s="1"/>
  <c r="I234" i="2"/>
  <c r="J234" i="2" s="1"/>
  <c r="I221" i="2"/>
  <c r="J221" i="2" s="1"/>
  <c r="I320" i="2"/>
  <c r="J320" i="2" s="1"/>
  <c r="I376" i="2"/>
  <c r="J376" i="2" s="1"/>
  <c r="I113" i="2"/>
  <c r="J113" i="2" s="1"/>
  <c r="I133" i="2"/>
  <c r="J133" i="2" s="1"/>
  <c r="I87" i="2"/>
  <c r="J87" i="2" s="1"/>
  <c r="I277" i="2"/>
  <c r="J277" i="2" s="1"/>
  <c r="I278" i="2"/>
  <c r="J278" i="2" s="1"/>
  <c r="I350" i="2"/>
  <c r="J350" i="2" s="1"/>
  <c r="I368" i="2"/>
  <c r="J368" i="2" s="1"/>
  <c r="I42" i="2"/>
  <c r="J42" i="2" s="1"/>
  <c r="I80" i="2"/>
  <c r="J80" i="2" s="1"/>
  <c r="I182" i="2"/>
  <c r="J182" i="2" s="1"/>
  <c r="I302" i="2"/>
  <c r="J302" i="2" s="1"/>
  <c r="I353" i="2"/>
  <c r="J353" i="2" s="1"/>
  <c r="I159" i="2"/>
  <c r="J159" i="2" s="1"/>
  <c r="I374" i="2"/>
  <c r="J374" i="2" s="1"/>
  <c r="I242" i="2"/>
  <c r="J242" i="2" s="1"/>
  <c r="I74" i="2"/>
  <c r="J74" i="2" s="1"/>
  <c r="I260" i="2"/>
  <c r="J260" i="2" s="1"/>
  <c r="I230" i="2"/>
  <c r="J230" i="2" s="1"/>
  <c r="I244" i="2"/>
  <c r="J244" i="2" s="1"/>
  <c r="I232" i="2"/>
  <c r="J232" i="2" s="1"/>
  <c r="I111" i="2"/>
  <c r="J111" i="2" s="1"/>
  <c r="I135" i="2"/>
  <c r="J135" i="2" s="1"/>
  <c r="I48" i="2"/>
  <c r="J48" i="2" s="1"/>
  <c r="I107" i="2"/>
  <c r="J107" i="2" s="1"/>
  <c r="I371" i="2"/>
  <c r="J371" i="2" s="1"/>
  <c r="I310" i="2"/>
  <c r="J310" i="2" s="1"/>
  <c r="I170" i="2"/>
  <c r="J170" i="2" s="1"/>
  <c r="I183" i="2"/>
  <c r="J183" i="2" s="1"/>
  <c r="I194" i="2"/>
  <c r="J194" i="2" s="1"/>
  <c r="I187" i="2"/>
  <c r="J187" i="2" s="1"/>
  <c r="I259" i="2"/>
  <c r="J259" i="2" s="1"/>
  <c r="I153" i="2"/>
  <c r="J153" i="2" s="1"/>
  <c r="I249" i="2"/>
  <c r="J249" i="2" s="1"/>
  <c r="I164" i="2"/>
  <c r="J164" i="2" s="1"/>
  <c r="I16" i="2"/>
  <c r="J16" i="2" s="1"/>
  <c r="I334" i="2"/>
  <c r="J334" i="2" s="1"/>
  <c r="I356" i="2"/>
  <c r="J356" i="2" s="1"/>
  <c r="I258" i="2"/>
  <c r="J258" i="2" s="1"/>
  <c r="I298" i="2"/>
  <c r="J298" i="2" s="1"/>
  <c r="I214" i="2"/>
  <c r="J214" i="2" s="1"/>
  <c r="I28" i="2"/>
  <c r="J28" i="2" s="1"/>
  <c r="I325" i="2"/>
  <c r="J325" i="2" s="1"/>
  <c r="I146" i="2"/>
  <c r="J146" i="2" s="1"/>
  <c r="I95" i="2"/>
  <c r="J95" i="2" s="1"/>
  <c r="I34" i="2"/>
  <c r="J34" i="2" s="1"/>
  <c r="I347" i="2"/>
  <c r="J347" i="2" s="1"/>
  <c r="I19" i="2"/>
  <c r="J19" i="2" s="1"/>
  <c r="I101" i="2"/>
  <c r="J101" i="2" s="1"/>
  <c r="I207" i="2"/>
  <c r="J207" i="2" s="1"/>
  <c r="I23" i="2"/>
  <c r="J23" i="2" s="1"/>
  <c r="I362" i="2"/>
  <c r="J362" i="2" s="1"/>
  <c r="I54" i="2"/>
  <c r="J54" i="2" s="1"/>
  <c r="I316" i="2"/>
  <c r="J316" i="2" s="1"/>
  <c r="I156" i="2"/>
  <c r="J156" i="2" s="1"/>
  <c r="I186" i="2"/>
  <c r="J186" i="2" s="1"/>
  <c r="I281" i="2"/>
  <c r="J281" i="2" s="1"/>
  <c r="I256" i="2"/>
  <c r="J256" i="2" s="1"/>
  <c r="I79" i="2"/>
  <c r="J79" i="2" s="1"/>
  <c r="I297" i="2"/>
  <c r="J297" i="2" s="1"/>
  <c r="I142" i="2"/>
  <c r="J142" i="2" s="1"/>
  <c r="I148" i="2"/>
  <c r="J148" i="2" s="1"/>
  <c r="I124" i="2"/>
  <c r="J124" i="2" s="1"/>
  <c r="I237" i="2"/>
  <c r="J237" i="2" s="1"/>
  <c r="I252" i="2"/>
  <c r="J252" i="2" s="1"/>
  <c r="I265" i="2"/>
  <c r="J265" i="2" s="1"/>
  <c r="I268" i="2"/>
  <c r="J268" i="2" s="1"/>
  <c r="I338" i="2"/>
  <c r="J338" i="2" s="1"/>
  <c r="I370" i="2"/>
  <c r="J370" i="2" s="1"/>
  <c r="I378" i="2"/>
  <c r="J378" i="2" s="1"/>
  <c r="I314" i="2"/>
  <c r="J314" i="2" s="1"/>
  <c r="I346" i="2"/>
  <c r="J346" i="2" s="1"/>
  <c r="I274" i="2"/>
  <c r="J274" i="2" s="1"/>
  <c r="I284" i="2"/>
  <c r="J284" i="2" s="1"/>
  <c r="I137" i="2"/>
  <c r="J137" i="2" s="1"/>
  <c r="I141" i="2"/>
  <c r="J141" i="2" s="1"/>
  <c r="I45" i="2"/>
  <c r="J45" i="2" s="1"/>
  <c r="I211" i="2"/>
  <c r="J211" i="2" s="1"/>
  <c r="I344" i="2"/>
  <c r="J344" i="2" s="1"/>
  <c r="I181" i="2"/>
  <c r="J181" i="2" s="1"/>
  <c r="I246" i="2"/>
  <c r="J246" i="2" s="1"/>
  <c r="I58" i="2"/>
  <c r="J58" i="2" s="1"/>
  <c r="I38" i="2"/>
  <c r="J38" i="2" s="1"/>
  <c r="I355" i="2"/>
  <c r="J355" i="2" s="1"/>
  <c r="I106" i="2"/>
  <c r="J106" i="2" s="1"/>
  <c r="I166" i="2"/>
  <c r="J166" i="2" s="1"/>
  <c r="I72" i="2"/>
  <c r="J72" i="2" s="1"/>
  <c r="I51" i="2"/>
  <c r="J51" i="2" s="1"/>
  <c r="I365" i="2"/>
  <c r="J365" i="2" s="1"/>
  <c r="I189" i="2"/>
  <c r="J189" i="2" s="1"/>
  <c r="I55" i="2"/>
  <c r="J55" i="2" s="1"/>
  <c r="I313" i="2"/>
  <c r="J313" i="2" s="1"/>
  <c r="I375" i="2"/>
  <c r="J375" i="2" s="1"/>
  <c r="I143" i="2"/>
  <c r="J143" i="2" s="1"/>
  <c r="I204" i="2"/>
  <c r="J204" i="2" s="1"/>
  <c r="I14" i="2"/>
  <c r="J14" i="2" s="1"/>
  <c r="I245" i="2"/>
  <c r="J245" i="2" s="1"/>
  <c r="I208" i="2"/>
  <c r="J208" i="2" s="1"/>
  <c r="I32" i="2"/>
  <c r="J32" i="2" s="1"/>
  <c r="I15" i="2"/>
  <c r="J15" i="2" s="1"/>
  <c r="I138" i="2"/>
  <c r="J138" i="2" s="1"/>
  <c r="I283" i="2"/>
  <c r="J283" i="2" s="1"/>
  <c r="I212" i="2"/>
  <c r="J212" i="2" s="1"/>
  <c r="I81" i="2"/>
  <c r="J81" i="2" s="1"/>
  <c r="I275" i="2"/>
  <c r="J275" i="2" s="1"/>
  <c r="I226" i="2"/>
  <c r="J226" i="2" s="1"/>
  <c r="I227" i="2"/>
  <c r="J227" i="2" s="1"/>
  <c r="I173" i="2"/>
  <c r="J173" i="2" s="1"/>
  <c r="I206" i="2"/>
  <c r="J206" i="2" s="1"/>
  <c r="I145" i="2"/>
  <c r="J145" i="2" s="1"/>
  <c r="I52" i="2"/>
  <c r="J52" i="2" s="1"/>
  <c r="I41" i="2"/>
  <c r="J41" i="2" s="1"/>
  <c r="I319" i="2"/>
  <c r="J319" i="2" s="1"/>
  <c r="I112" i="2"/>
  <c r="J112" i="2" s="1"/>
  <c r="I62" i="2"/>
  <c r="J62" i="2" s="1"/>
  <c r="I360" i="2"/>
  <c r="J360" i="2" s="1"/>
  <c r="I47" i="2"/>
  <c r="J47" i="2" s="1"/>
  <c r="I304" i="2"/>
  <c r="J304" i="2" s="1"/>
  <c r="I255" i="2"/>
  <c r="J255" i="2" s="1"/>
  <c r="I5" i="2"/>
  <c r="J5" i="2" s="1"/>
  <c r="I289" i="2"/>
  <c r="J289" i="2" s="1"/>
  <c r="I257" i="2"/>
  <c r="J257" i="2" s="1"/>
  <c r="I31" i="2"/>
  <c r="J31" i="2" s="1"/>
  <c r="I197" i="2"/>
  <c r="J197" i="2" s="1"/>
  <c r="I118" i="2"/>
  <c r="J118" i="2" s="1"/>
  <c r="I369" i="2"/>
  <c r="J369" i="2" s="1"/>
  <c r="I358" i="2"/>
  <c r="J358" i="2" s="1"/>
  <c r="I307" i="2"/>
  <c r="J307" i="2" s="1"/>
  <c r="I73" i="2"/>
  <c r="J73" i="2" s="1"/>
  <c r="I241" i="2"/>
  <c r="J241" i="2" s="1"/>
  <c r="I198" i="2"/>
  <c r="J198" i="2" s="1"/>
  <c r="I235" i="2"/>
  <c r="J235" i="2" s="1"/>
  <c r="I188" i="2"/>
  <c r="J188" i="2" s="1"/>
  <c r="I105" i="2"/>
  <c r="J105" i="2" s="1"/>
  <c r="I82" i="2"/>
  <c r="J82" i="2" s="1"/>
  <c r="I168" i="2"/>
  <c r="J168" i="2" s="1"/>
  <c r="I93" i="2"/>
  <c r="J93" i="2" s="1"/>
  <c r="I332" i="2"/>
  <c r="J332" i="2" s="1"/>
  <c r="I324" i="2"/>
  <c r="J324" i="2" s="1"/>
  <c r="I331" i="2"/>
  <c r="J331" i="2" s="1"/>
  <c r="I90" i="2"/>
  <c r="J90" i="2" s="1"/>
  <c r="I29" i="2"/>
  <c r="J29" i="2" s="1"/>
  <c r="I39" i="2"/>
  <c r="J39" i="2" s="1"/>
  <c r="I172" i="2"/>
  <c r="J172" i="2" s="1"/>
  <c r="I351" i="2"/>
  <c r="J351" i="2" s="1"/>
  <c r="I83" i="2"/>
  <c r="J83" i="2" s="1"/>
  <c r="I315" i="2"/>
  <c r="J315" i="2" s="1"/>
  <c r="I364" i="2"/>
  <c r="J364" i="2" s="1"/>
  <c r="I11" i="2"/>
  <c r="J11" i="2" s="1"/>
  <c r="I272" i="2"/>
  <c r="J272" i="2" s="1"/>
  <c r="I25" i="2"/>
  <c r="J25" i="2" s="1"/>
  <c r="I59" i="2"/>
  <c r="J59" i="2" s="1"/>
  <c r="I290" i="2"/>
  <c r="J290" i="2" s="1"/>
  <c r="I205" i="2"/>
  <c r="J205" i="2" s="1"/>
  <c r="I250" i="2"/>
  <c r="J250" i="2" s="1"/>
  <c r="I195" i="2"/>
  <c r="J195" i="2" s="1"/>
  <c r="I123" i="2"/>
  <c r="J123" i="2" s="1"/>
  <c r="I91" i="2"/>
  <c r="J91" i="2" s="1"/>
  <c r="I322" i="2"/>
  <c r="J322" i="2" s="1"/>
  <c r="I354" i="2"/>
  <c r="J354" i="2" s="1"/>
  <c r="I348" i="2"/>
  <c r="J348" i="2" s="1"/>
  <c r="I343" i="2"/>
  <c r="J343" i="2" s="1"/>
  <c r="I193" i="2"/>
  <c r="J193" i="2" s="1"/>
  <c r="I77" i="2"/>
  <c r="J77" i="2" s="1"/>
  <c r="I60" i="2"/>
  <c r="J60" i="2" s="1"/>
  <c r="I163" i="2"/>
  <c r="J163" i="2" s="1"/>
  <c r="I261" i="2"/>
  <c r="J261" i="2" s="1"/>
  <c r="I345" i="2"/>
  <c r="J345" i="2" s="1"/>
  <c r="I56" i="2"/>
  <c r="J56" i="2" s="1"/>
  <c r="I210" i="2"/>
  <c r="J210" i="2" s="1"/>
  <c r="I291" i="2"/>
  <c r="J291" i="2" s="1"/>
  <c r="I120" i="2"/>
  <c r="J120" i="2" s="1"/>
  <c r="I262" i="2"/>
  <c r="J262" i="2" s="1"/>
  <c r="I379" i="2"/>
  <c r="J379" i="2" s="1"/>
  <c r="I129" i="2"/>
  <c r="J129" i="2" s="1"/>
  <c r="I37" i="2"/>
  <c r="J37" i="2" s="1"/>
  <c r="I220" i="2"/>
  <c r="J220" i="2" s="1"/>
  <c r="I43" i="2"/>
  <c r="J43" i="2" s="1"/>
  <c r="I27" i="2"/>
  <c r="J27" i="2" s="1"/>
  <c r="I342" i="2"/>
  <c r="J342" i="2" s="1"/>
  <c r="I292" i="2"/>
  <c r="J292" i="2" s="1"/>
  <c r="I248" i="2"/>
  <c r="J248" i="2" s="1"/>
  <c r="I223" i="2"/>
  <c r="J223" i="2" s="1"/>
  <c r="I295" i="2"/>
  <c r="J295" i="2" s="1"/>
  <c r="I110" i="2"/>
  <c r="J110" i="2" s="1"/>
  <c r="I192" i="2"/>
  <c r="J192" i="2" s="1"/>
  <c r="I269" i="2"/>
  <c r="J269" i="2" s="1"/>
  <c r="I144" i="2"/>
  <c r="J144" i="2" s="1"/>
  <c r="I276" i="2"/>
  <c r="J276" i="2" s="1"/>
  <c r="I366" i="2"/>
  <c r="J366" i="2" s="1"/>
  <c r="I2" i="2"/>
  <c r="J2" i="2" s="1"/>
  <c r="I229" i="2"/>
  <c r="J229" i="2" s="1"/>
  <c r="I151" i="2"/>
  <c r="J151" i="2" s="1"/>
  <c r="I363" i="2"/>
  <c r="J363" i="2" s="1"/>
  <c r="I115" i="2"/>
  <c r="J115" i="2" s="1"/>
  <c r="I306" i="2"/>
  <c r="J306" i="2" s="1"/>
  <c r="I349" i="2"/>
  <c r="J349" i="2" s="1"/>
  <c r="I333" i="2"/>
  <c r="J333" i="2" s="1"/>
  <c r="I209" i="2"/>
  <c r="J209" i="2" s="1"/>
  <c r="I203" i="2"/>
  <c r="J203" i="2" s="1"/>
  <c r="I309" i="2"/>
  <c r="J309" i="2" s="1"/>
  <c r="I213" i="2"/>
  <c r="J213" i="2" s="1"/>
  <c r="I196" i="2"/>
  <c r="J196" i="2" s="1"/>
  <c r="I21" i="2"/>
  <c r="J21" i="2" s="1"/>
  <c r="I46" i="2"/>
  <c r="J46" i="2" s="1"/>
  <c r="I335" i="2"/>
  <c r="J335" i="2" s="1"/>
  <c r="I357" i="2"/>
  <c r="J357" i="2" s="1"/>
  <c r="I157" i="2"/>
  <c r="J157" i="2" s="1"/>
  <c r="I216" i="2"/>
  <c r="J216" i="2" s="1"/>
  <c r="I303" i="2"/>
  <c r="J303" i="2" s="1"/>
  <c r="I267" i="2"/>
  <c r="J267" i="2" s="1"/>
  <c r="I339" i="2"/>
  <c r="J339" i="2" s="1"/>
  <c r="I225" i="2"/>
  <c r="J225" i="2" s="1"/>
  <c r="I12" i="2"/>
  <c r="J12" i="2" s="1"/>
  <c r="I78" i="2"/>
  <c r="J78" i="2" s="1"/>
  <c r="I296" i="2"/>
  <c r="J296" i="2" s="1"/>
  <c r="I8" i="2"/>
  <c r="J8" i="2" s="1"/>
  <c r="I18" i="2"/>
  <c r="J18" i="2" s="1"/>
  <c r="I340" i="2"/>
  <c r="J340" i="2" s="1"/>
  <c r="I92" i="2"/>
  <c r="J92" i="2" s="1"/>
  <c r="I372" i="2"/>
  <c r="J372" i="2" s="1"/>
  <c r="I238" i="2"/>
  <c r="J238" i="2" s="1"/>
  <c r="I330" i="2"/>
  <c r="J330" i="2" s="1"/>
  <c r="I17" i="2"/>
  <c r="J17" i="2" s="1"/>
  <c r="I117" i="2"/>
  <c r="J117" i="2" s="1"/>
  <c r="I190" i="2"/>
  <c r="J190" i="2" s="1"/>
  <c r="I174" i="2"/>
  <c r="J174" i="2" s="1"/>
  <c r="I102" i="2"/>
  <c r="J102" i="2" s="1"/>
  <c r="I175" i="2"/>
  <c r="J175" i="2" s="1"/>
  <c r="I231" i="2"/>
  <c r="J231" i="2" s="1"/>
  <c r="I285" i="2"/>
  <c r="J285" i="2" s="1"/>
  <c r="I139" i="2"/>
  <c r="J139" i="2" s="1"/>
  <c r="I247" i="2"/>
  <c r="J247" i="2" s="1"/>
  <c r="I301" i="2"/>
  <c r="J301" i="2" s="1"/>
  <c r="I99" i="2"/>
  <c r="J99" i="2" s="1"/>
  <c r="I254" i="2"/>
  <c r="J254" i="2" s="1"/>
  <c r="I240" i="2"/>
  <c r="J240" i="2" s="1"/>
  <c r="I94" i="2"/>
  <c r="J94" i="2" s="1"/>
  <c r="I22" i="2"/>
  <c r="J22" i="2" s="1"/>
  <c r="I109" i="2"/>
  <c r="J109" i="2" s="1"/>
  <c r="I33" i="2"/>
  <c r="J33" i="2" s="1"/>
  <c r="I98" i="2"/>
  <c r="J98" i="2" s="1"/>
  <c r="I125" i="2"/>
  <c r="J125" i="2" s="1"/>
  <c r="I253" i="2"/>
  <c r="J253" i="2" s="1"/>
  <c r="I373" i="2"/>
  <c r="J373" i="2" s="1"/>
  <c r="I121" i="2"/>
  <c r="J121" i="2" s="1"/>
</calcChain>
</file>

<file path=xl/sharedStrings.xml><?xml version="1.0" encoding="utf-8"?>
<sst xmlns="http://schemas.openxmlformats.org/spreadsheetml/2006/main" count="67" uniqueCount="57">
  <si>
    <t>AHP - Penentuan Bobot Prioritas Potensi Aktivitas</t>
  </si>
  <si>
    <t>Skala Saaty: 1=sama penting, 3=sedikit lebih penting, 5=lebih penting, 7=jauh lebih penting, 9=mutlak lebih penting</t>
  </si>
  <si>
    <t>1. Matriks Perbandingan Berpasangan</t>
  </si>
  <si>
    <t>Volume Kendaraan</t>
  </si>
  <si>
    <t>Jumlah POI</t>
  </si>
  <si>
    <t>Jumlah Penduduk</t>
  </si>
  <si>
    <t>Total</t>
  </si>
  <si>
    <t>Catatan: hanya sel kuning yang diisi manual (hasil pertimbangan pengambil keputusan, mengikuti urutan prioritas: Volume Kendaraan &gt; Jumlah POI &gt; Jumlah Penduduk). Sel lain otomatis (kebalikan).</t>
  </si>
  <si>
    <t>2. Normalisasi Matriks, Bobot Prioritas &amp; Eigen Value</t>
  </si>
  <si>
    <t>Kriteria</t>
  </si>
  <si>
    <t>Jumlah</t>
  </si>
  <si>
    <t>Prioritas (Bobot)</t>
  </si>
  <si>
    <t>Eigen Value</t>
  </si>
  <si>
    <t>3. Uji Konsistensi (Consistency Ratio)</t>
  </si>
  <si>
    <t>Lambda Max (Total Eigen Value)</t>
  </si>
  <si>
    <t>n (jumlah kriteria)</t>
  </si>
  <si>
    <t>CI (Consistency Index = (Lambda Max - n) / (n - 1))</t>
  </si>
  <si>
    <t>RI (Random Index, tabel Saaty untuk n=3)</t>
  </si>
  <si>
    <t>CR (Consistency Ratio = CI / RI)</t>
  </si>
  <si>
    <t>Status Konsistensi (CR &lt;= 0.1 dianggap konsisten)</t>
  </si>
  <si>
    <t>4. Bobot Final Dipakai di Skor Total Potensi Aktivitas</t>
  </si>
  <si>
    <t>Bobot Volume Kendaraan</t>
  </si>
  <si>
    <t>Bobot Jumlah POI</t>
  </si>
  <si>
    <t>Bobot Jumlah Penduduk</t>
  </si>
  <si>
    <t>hex_id</t>
  </si>
  <si>
    <t>poi_total</t>
  </si>
  <si>
    <t>penduduk</t>
  </si>
  <si>
    <t>volume_mean</t>
  </si>
  <si>
    <t>Norm_Volume (1-100)</t>
  </si>
  <si>
    <t>Norm_POI (1-100)</t>
  </si>
  <si>
    <t>Norm_Penduduk (1-100)</t>
  </si>
  <si>
    <t>Skor Total AHP</t>
  </si>
  <si>
    <t>Ranking</t>
  </si>
  <si>
    <t>Klasifikasi Potensi Aktivitas</t>
  </si>
  <si>
    <t>CATATAN &amp; ASUMSI PERHITUNGAN SKOR TOTAL POTENSI AKTIVITAS</t>
  </si>
  <si>
    <t>1. Sumber data: DATA_POI_POPULASI_VOLUME.xlsx (per grid hexagon), kolom yang dipakai:</t>
  </si>
  <si>
    <t xml:space="preserve">   - poi_total  = jumlah total POI per grid (kuantitas seluruh kategori, bukan per kategori)</t>
  </si>
  <si>
    <t xml:space="preserve">   - penduduk   = jumlah penduduk per grid</t>
  </si>
  <si>
    <t xml:space="preserve">   - volume_mean = jumlah data volume kendaraan terekam per grid (dipilih oleh pengguna sebagai proksi Volume Kendaraan)</t>
  </si>
  <si>
    <t>2. Bobot kriteria dihitung dengan metode AHP pada sheet 'AHP Bobot' (mengikuti file FIX_POTENSI_AKTIVITAS.xlsx).</t>
  </si>
  <si>
    <t xml:space="preserve">   Urutan prioritas pairwise: Volume Kendaraan &gt; Jumlah POI &gt; Jumlah Penduduk (sel kuning = input manual).</t>
  </si>
  <si>
    <t xml:space="preserve">   Cek status konsistensi (CR) pada sheet 'AHP Bobot' baris 26 sebelum bobot dipakai.</t>
  </si>
  <si>
    <t>3. Setiap kriteria (Volume, POI, Penduduk) dinormalisasi Min-Max ke skala 1-100 pada sheet 'Skoring Potensi Aktivitas'</t>
  </si>
  <si>
    <t xml:space="preserve">   karena satuan &amp; rentang nilai tiap kriteria berbeda jauh (contoh: penduduk 0-2295 vs volume_mean 262-1573).</t>
  </si>
  <si>
    <t xml:space="preserve">   Rumus: 1 + (X - MIN) / (MAX - MIN) * 99</t>
  </si>
  <si>
    <t>4. Skor Total AHP = (Norm_Volume x Bobot Volume) + (Norm_POI x Bobot POI) + (Norm_Penduduk x Bobot Penduduk)</t>
  </si>
  <si>
    <t xml:space="preserve">   Bobot diambil otomatis dari sheet 'AHP Bobot' (sel B29, B30, B31) - jika bobot pairwise diubah, skor ikut update otomatis.</t>
  </si>
  <si>
    <t>5. Ranking dihitung otomatis (1 = skor tertinggi = grid dengan potensi aktivitas paling besar).</t>
  </si>
  <si>
    <t>6. Semua rumus bersifat live - jika data sumber (poi_total/penduduk/volume_mean) atau bobot AHP diubah, seluruh skor &amp; ranking akan otomatis terhitung ulang.</t>
  </si>
  <si>
    <t>7. KLASIFIKASI POTENSI AKTIVITAS (5 kelas, berdasarkan Ranking skor total, sesuai skema warna di dokumen HAPIS):</t>
  </si>
  <si>
    <t xml:space="preserve">   Grid dibagi rata menjadi 5 kelompok berdasarkan urutan Ranking (bukan berdasarkan nilai skor absolut):</t>
  </si>
  <si>
    <t xml:space="preserve">   - Ranking 1 - 76      -&gt; Merah        (Aktivitas Sangat Besar)</t>
  </si>
  <si>
    <t xml:space="preserve">   - Ranking 77 - 151    -&gt; Oranye       (Aktivitas Besar)</t>
  </si>
  <si>
    <t xml:space="preserve">   - Ranking 152 - 227    -&gt; Kuning       (Aktivitas Sedang)</t>
  </si>
  <si>
    <t xml:space="preserve">   - Ranking 228 - 302    -&gt; Hijau        (Aktivitas Rendah)</t>
  </si>
  <si>
    <t xml:space="preserve">   - Ranking 303 - 378    -&gt; Hijau Muda   (Aktivitas Sangat Rendah)</t>
  </si>
  <si>
    <t xml:space="preserve">   Rumus: CHOOSE(MIN(5,ROUNDUP(Ranking*5/378,0)), ...) - otomatis update jika skor/ranking berubah.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</si>
</sst>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3" borderId="0" xfId="0" applyFont="1" applyFill="1" applyAlignment="1">
      <alignment horizontal="center" vertical="center" wrapText="1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A5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9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6328125" defaultRowHeight="14.5" x14ac:dyDescent="0.35"/>
  <cols>
    <col min="1" max="1" width="10" customWidth="1"/>
    <col min="2" max="3" width="11" customWidth="1"/>
    <col min="4" max="4" width="13" customWidth="1"/>
    <col min="5" max="5" width="19.453125" bestFit="1" customWidth="1"/>
    <col min="6" max="6" width="16" customWidth="1"/>
    <col min="7" max="7" width="18" customWidth="1"/>
    <col min="8" max="8" width="15" customWidth="1"/>
    <col min="9" max="9" width="10" customWidth="1"/>
    <col min="10" max="10" width="26" customWidth="1"/>
  </cols>
  <sheetData>
    <row r="1" spans="1:10" ht="23.25" customHeight="1" x14ac:dyDescent="0.3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1:10" ht="15" customHeight="1" x14ac:dyDescent="0.35">
      <c r="A2" s="6">
        <v>0</v>
      </c>
      <c r="B2" s="6">
        <v>0</v>
      </c>
      <c r="C2" s="6">
        <v>78</v>
      </c>
      <c r="D2" s="7">
        <v>641.86387743870898</v>
      </c>
      <c r="E2" s="9">
        <f>1+($D2-MIN($D$2:$D$379))/(MAX($D$2:$D$379)-MIN($D$2:$D$379))*99</f>
        <v>17.757414685668664</v>
      </c>
      <c r="F2" s="7">
        <f t="shared" ref="F2:F65" si="0">1+($B2-MIN($B$2:$B$379))/(MAX($B$2:$B$379)-MIN($B$2:$B$379))*99</f>
        <v>1</v>
      </c>
      <c r="G2" s="7">
        <f t="shared" ref="G2:G65" si="1">1+($C2-MIN($C$2:$C$379))/(MAX($C$2:$C$379)-MIN($C$2:$C$379))*99</f>
        <v>4.3647058823529408</v>
      </c>
      <c r="H2" s="7">
        <f>E2*'AHP Bobot'!$B$29 + F2*'AHP Bobot'!$B$30 + G2*'AHP Bobot'!$B$31</f>
        <v>10.582667392127423</v>
      </c>
      <c r="I2" s="6">
        <f t="shared" ref="I2:I65" si="2">RANK(H2,$H$2:$H$379)</f>
        <v>357</v>
      </c>
      <c r="J2" s="8" t="str">
        <f t="shared" ref="J2:J65" si="3">CHOOSE(MIN(5,ROUNDUP(I2*5/378,0)),"Merah (Sangat Besar)","Oranye (Besar)","Kuning (Sedang)","Hijau (Rendah)","Hijau Muda (Sangat Rendah)")</f>
        <v>Hijau Muda (Sangat Rendah)</v>
      </c>
    </row>
    <row r="3" spans="1:10" ht="15" customHeight="1" x14ac:dyDescent="0.35">
      <c r="A3" s="6">
        <v>1</v>
      </c>
      <c r="B3" s="6">
        <v>0</v>
      </c>
      <c r="C3" s="6">
        <v>114</v>
      </c>
      <c r="D3" s="7">
        <v>640.97295332578904</v>
      </c>
      <c r="E3" s="7">
        <f t="shared" ref="E2:E65" si="4">1+($D3-MIN($D$2:$D$379))/(MAX($D$2:$D$379)-MIN($D$2:$D$379))*99</f>
        <v>17.707286594631164</v>
      </c>
      <c r="F3" s="7">
        <f t="shared" si="0"/>
        <v>1</v>
      </c>
      <c r="G3" s="7">
        <f t="shared" si="1"/>
        <v>5.9176470588235288</v>
      </c>
      <c r="H3" s="7">
        <f>E3*'AHP Bobot'!$B$29 + F3*'AHP Bobot'!$B$30 + G3*'AHP Bobot'!$B$31</f>
        <v>10.809992040795398</v>
      </c>
      <c r="I3" s="6">
        <f t="shared" si="2"/>
        <v>356</v>
      </c>
      <c r="J3" s="8" t="str">
        <f t="shared" si="3"/>
        <v>Hijau Muda (Sangat Rendah)</v>
      </c>
    </row>
    <row r="4" spans="1:10" ht="15" customHeight="1" x14ac:dyDescent="0.35">
      <c r="A4" s="6">
        <v>2</v>
      </c>
      <c r="B4" s="6">
        <v>3</v>
      </c>
      <c r="C4" s="6">
        <v>747</v>
      </c>
      <c r="D4" s="7">
        <v>625.42739996389196</v>
      </c>
      <c r="E4" s="7">
        <f t="shared" si="4"/>
        <v>16.832611745390153</v>
      </c>
      <c r="F4" s="7">
        <f t="shared" si="0"/>
        <v>10.28125</v>
      </c>
      <c r="G4" s="7">
        <f t="shared" si="1"/>
        <v>33.223529411764709</v>
      </c>
      <c r="H4" s="7">
        <f>E4*'AHP Bobot'!$B$29 + F4*'AHP Bobot'!$B$30 + G4*'AHP Bobot'!$B$31</f>
        <v>17.569680483605364</v>
      </c>
      <c r="I4" s="6">
        <f t="shared" si="2"/>
        <v>320</v>
      </c>
      <c r="J4" s="8" t="str">
        <f t="shared" si="3"/>
        <v>Hijau Muda (Sangat Rendah)</v>
      </c>
    </row>
    <row r="5" spans="1:10" ht="15" customHeight="1" x14ac:dyDescent="0.35">
      <c r="A5" s="6">
        <v>3</v>
      </c>
      <c r="B5" s="6">
        <v>0</v>
      </c>
      <c r="C5" s="6">
        <v>109</v>
      </c>
      <c r="D5" s="7">
        <v>625.66996968912201</v>
      </c>
      <c r="E5" s="7">
        <f t="shared" si="4"/>
        <v>16.846259997910135</v>
      </c>
      <c r="F5" s="7">
        <f t="shared" si="0"/>
        <v>1</v>
      </c>
      <c r="G5" s="7">
        <f t="shared" si="1"/>
        <v>5.7019607843137257</v>
      </c>
      <c r="H5" s="7">
        <f>E5*'AHP Bobot'!$B$29 + F5*'AHP Bobot'!$B$30 + G5*'AHP Bobot'!$B$31</f>
        <v>10.310607010445949</v>
      </c>
      <c r="I5" s="6">
        <f t="shared" si="2"/>
        <v>359</v>
      </c>
      <c r="J5" s="8" t="str">
        <f t="shared" si="3"/>
        <v>Hijau Muda (Sangat Rendah)</v>
      </c>
    </row>
    <row r="6" spans="1:10" ht="15" customHeight="1" x14ac:dyDescent="0.35">
      <c r="A6" s="6">
        <v>4</v>
      </c>
      <c r="B6" s="6">
        <v>0</v>
      </c>
      <c r="C6" s="6">
        <v>48</v>
      </c>
      <c r="D6" s="7">
        <v>630.49249346434897</v>
      </c>
      <c r="E6" s="7">
        <f t="shared" si="4"/>
        <v>17.117600628755525</v>
      </c>
      <c r="F6" s="7">
        <f t="shared" si="0"/>
        <v>1</v>
      </c>
      <c r="G6" s="7">
        <f t="shared" si="1"/>
        <v>3.0705882352941174</v>
      </c>
      <c r="H6" s="7">
        <f>E6*'AHP Bobot'!$B$29 + F6*'AHP Bobot'!$B$30 + G6*'AHP Bobot'!$B$31</f>
        <v>10.025881096026078</v>
      </c>
      <c r="I6" s="6">
        <f t="shared" si="2"/>
        <v>360</v>
      </c>
      <c r="J6" s="8" t="str">
        <f t="shared" si="3"/>
        <v>Hijau Muda (Sangat Rendah)</v>
      </c>
    </row>
    <row r="7" spans="1:10" ht="15" customHeight="1" x14ac:dyDescent="0.35">
      <c r="A7" s="6">
        <v>5</v>
      </c>
      <c r="B7" s="6">
        <v>0</v>
      </c>
      <c r="C7" s="6">
        <v>140</v>
      </c>
      <c r="D7" s="7">
        <v>607.42828254724395</v>
      </c>
      <c r="E7" s="7">
        <f t="shared" si="4"/>
        <v>15.819886437620429</v>
      </c>
      <c r="F7" s="7">
        <f t="shared" si="0"/>
        <v>1</v>
      </c>
      <c r="G7" s="7">
        <f t="shared" si="1"/>
        <v>7.0392156862745097</v>
      </c>
      <c r="H7" s="7">
        <f>E7*'AHP Bobot'!$B$29 + F7*'AHP Bobot'!$B$30 + G7*'AHP Bobot'!$B$31</f>
        <v>9.9764481455171534</v>
      </c>
      <c r="I7" s="6">
        <f t="shared" si="2"/>
        <v>361</v>
      </c>
      <c r="J7" s="8" t="str">
        <f t="shared" si="3"/>
        <v>Hijau Muda (Sangat Rendah)</v>
      </c>
    </row>
    <row r="8" spans="1:10" ht="15" customHeight="1" x14ac:dyDescent="0.35">
      <c r="A8" s="6">
        <v>6</v>
      </c>
      <c r="B8" s="6">
        <v>1</v>
      </c>
      <c r="C8" s="6">
        <v>378</v>
      </c>
      <c r="D8" s="7">
        <v>599.929591032595</v>
      </c>
      <c r="E8" s="7">
        <f t="shared" si="4"/>
        <v>15.397970490507433</v>
      </c>
      <c r="F8" s="7">
        <f t="shared" si="0"/>
        <v>4.09375</v>
      </c>
      <c r="G8" s="7">
        <f t="shared" si="1"/>
        <v>17.305882352941175</v>
      </c>
      <c r="H8" s="7">
        <f>E8*'AHP Bobot'!$B$29 + F8*'AHP Bobot'!$B$30 + G8*'AHP Bobot'!$B$31</f>
        <v>12.350176226931243</v>
      </c>
      <c r="I8" s="6">
        <f t="shared" si="2"/>
        <v>349</v>
      </c>
      <c r="J8" s="8" t="str">
        <f t="shared" si="3"/>
        <v>Hijau Muda (Sangat Rendah)</v>
      </c>
    </row>
    <row r="9" spans="1:10" ht="15" customHeight="1" x14ac:dyDescent="0.35">
      <c r="A9" s="6">
        <v>7</v>
      </c>
      <c r="B9" s="6">
        <v>7</v>
      </c>
      <c r="C9" s="6">
        <v>866</v>
      </c>
      <c r="D9" s="7">
        <v>595.29427603145496</v>
      </c>
      <c r="E9" s="7">
        <f t="shared" si="4"/>
        <v>15.137163212990744</v>
      </c>
      <c r="F9" s="7">
        <f t="shared" si="0"/>
        <v>22.65625</v>
      </c>
      <c r="G9" s="7">
        <f t="shared" si="1"/>
        <v>38.356862745098034</v>
      </c>
      <c r="H9" s="7">
        <f>E9*'AHP Bobot'!$B$29 + F9*'AHP Bobot'!$B$30 + G9*'AHP Bobot'!$B$31</f>
        <v>21.175211950390576</v>
      </c>
      <c r="I9" s="6">
        <f t="shared" si="2"/>
        <v>279</v>
      </c>
      <c r="J9" s="8" t="str">
        <f t="shared" si="3"/>
        <v>Hijau (Rendah)</v>
      </c>
    </row>
    <row r="10" spans="1:10" ht="15" customHeight="1" x14ac:dyDescent="0.35">
      <c r="A10" s="6">
        <v>8</v>
      </c>
      <c r="B10" s="6">
        <v>0</v>
      </c>
      <c r="C10" s="6">
        <v>883</v>
      </c>
      <c r="D10" s="7">
        <v>599.005145577966</v>
      </c>
      <c r="E10" s="7">
        <f t="shared" si="4"/>
        <v>15.345956311929456</v>
      </c>
      <c r="F10" s="7">
        <f t="shared" si="0"/>
        <v>1</v>
      </c>
      <c r="G10" s="7">
        <f t="shared" si="1"/>
        <v>39.090196078431369</v>
      </c>
      <c r="H10" s="7">
        <f>E10*'AHP Bobot'!$B$29 + F10*'AHP Bobot'!$B$30 + G10*'AHP Bobot'!$B$31</f>
        <v>14.970349116028299</v>
      </c>
      <c r="I10" s="6">
        <f t="shared" si="2"/>
        <v>336</v>
      </c>
      <c r="J10" s="8" t="str">
        <f t="shared" si="3"/>
        <v>Hijau Muda (Sangat Rendah)</v>
      </c>
    </row>
    <row r="11" spans="1:10" ht="15" customHeight="1" x14ac:dyDescent="0.35">
      <c r="A11" s="6">
        <v>9</v>
      </c>
      <c r="B11" s="6">
        <v>0</v>
      </c>
      <c r="C11" s="6">
        <v>24</v>
      </c>
      <c r="D11" s="7">
        <v>608.91702936847696</v>
      </c>
      <c r="E11" s="7">
        <f t="shared" si="4"/>
        <v>15.903651188292587</v>
      </c>
      <c r="F11" s="7">
        <f t="shared" si="0"/>
        <v>1</v>
      </c>
      <c r="G11" s="7">
        <f t="shared" si="1"/>
        <v>2.0352941176470587</v>
      </c>
      <c r="H11" s="7">
        <f>E11*'AHP Bobot'!$B$29 + F11*'AHP Bobot'!$B$30 + G11*'AHP Bobot'!$B$31</f>
        <v>9.2020484865515488</v>
      </c>
      <c r="I11" s="6">
        <f t="shared" si="2"/>
        <v>367</v>
      </c>
      <c r="J11" s="8" t="str">
        <f t="shared" si="3"/>
        <v>Hijau Muda (Sangat Rendah)</v>
      </c>
    </row>
    <row r="12" spans="1:10" ht="15" customHeight="1" x14ac:dyDescent="0.35">
      <c r="A12" s="6">
        <v>10</v>
      </c>
      <c r="B12" s="6">
        <v>0</v>
      </c>
      <c r="C12" s="6">
        <v>14</v>
      </c>
      <c r="D12" s="7">
        <v>621.09278156774099</v>
      </c>
      <c r="E12" s="7">
        <f t="shared" si="4"/>
        <v>16.588723245321475</v>
      </c>
      <c r="F12" s="7">
        <f t="shared" si="0"/>
        <v>1</v>
      </c>
      <c r="G12" s="7">
        <f t="shared" si="1"/>
        <v>1.6039215686274511</v>
      </c>
      <c r="H12" s="7">
        <f>E12*'AHP Bobot'!$B$29 + F12*'AHP Bobot'!$B$30 + G12*'AHP Bobot'!$B$31</f>
        <v>9.5006251517558251</v>
      </c>
      <c r="I12" s="6">
        <f t="shared" si="2"/>
        <v>363</v>
      </c>
      <c r="J12" s="8" t="str">
        <f t="shared" si="3"/>
        <v>Hijau Muda (Sangat Rendah)</v>
      </c>
    </row>
    <row r="13" spans="1:10" ht="15" customHeight="1" x14ac:dyDescent="0.35">
      <c r="A13" s="6">
        <v>11</v>
      </c>
      <c r="B13" s="6">
        <v>0</v>
      </c>
      <c r="C13" s="6">
        <v>78</v>
      </c>
      <c r="D13" s="7">
        <v>589.08431274966404</v>
      </c>
      <c r="E13" s="7">
        <f t="shared" si="4"/>
        <v>14.787757915485797</v>
      </c>
      <c r="F13" s="7">
        <f t="shared" si="0"/>
        <v>1</v>
      </c>
      <c r="G13" s="7">
        <f t="shared" si="1"/>
        <v>4.3647058823529408</v>
      </c>
      <c r="H13" s="7">
        <f>E13*'AHP Bobot'!$B$29 + F13*'AHP Bobot'!$B$30 + G13*'AHP Bobot'!$B$31</f>
        <v>8.9821380939119813</v>
      </c>
      <c r="I13" s="6">
        <f t="shared" si="2"/>
        <v>368</v>
      </c>
      <c r="J13" s="8" t="str">
        <f t="shared" si="3"/>
        <v>Hijau Muda (Sangat Rendah)</v>
      </c>
    </row>
    <row r="14" spans="1:10" ht="15" customHeight="1" x14ac:dyDescent="0.35">
      <c r="A14" s="6">
        <v>12</v>
      </c>
      <c r="B14" s="6">
        <v>0</v>
      </c>
      <c r="C14" s="6">
        <v>21</v>
      </c>
      <c r="D14" s="7">
        <v>586.69034397442897</v>
      </c>
      <c r="E14" s="7">
        <f t="shared" si="4"/>
        <v>14.653060601802594</v>
      </c>
      <c r="F14" s="7">
        <f t="shared" si="0"/>
        <v>1</v>
      </c>
      <c r="G14" s="7">
        <f t="shared" si="1"/>
        <v>1.9058823529411764</v>
      </c>
      <c r="H14" s="7">
        <f>E14*'AHP Bobot'!$B$29 + F14*'AHP Bobot'!$B$30 + G14*'AHP Bobot'!$B$31</f>
        <v>8.5068337400174503</v>
      </c>
      <c r="I14" s="6">
        <f t="shared" si="2"/>
        <v>371</v>
      </c>
      <c r="J14" s="8" t="str">
        <f t="shared" si="3"/>
        <v>Hijau Muda (Sangat Rendah)</v>
      </c>
    </row>
    <row r="15" spans="1:10" ht="15" customHeight="1" x14ac:dyDescent="0.35">
      <c r="A15" s="6">
        <v>13</v>
      </c>
      <c r="B15" s="6">
        <v>1</v>
      </c>
      <c r="C15" s="6">
        <v>224</v>
      </c>
      <c r="D15" s="7">
        <v>574.09803898319296</v>
      </c>
      <c r="E15" s="7">
        <f t="shared" si="4"/>
        <v>13.944551086998027</v>
      </c>
      <c r="F15" s="7">
        <f t="shared" si="0"/>
        <v>4.09375</v>
      </c>
      <c r="G15" s="7">
        <f t="shared" si="1"/>
        <v>10.662745098039215</v>
      </c>
      <c r="H15" s="7">
        <f>E15*'AHP Bobot'!$B$29 + F15*'AHP Bobot'!$B$30 + G15*'AHP Bobot'!$B$31</f>
        <v>10.478822365975779</v>
      </c>
      <c r="I15" s="6">
        <f t="shared" si="2"/>
        <v>358</v>
      </c>
      <c r="J15" s="8" t="str">
        <f t="shared" si="3"/>
        <v>Hijau Muda (Sangat Rendah)</v>
      </c>
    </row>
    <row r="16" spans="1:10" ht="15" customHeight="1" x14ac:dyDescent="0.35">
      <c r="A16" s="6">
        <v>14</v>
      </c>
      <c r="B16" s="6">
        <v>8</v>
      </c>
      <c r="C16" s="6">
        <v>913</v>
      </c>
      <c r="D16" s="7">
        <v>557.263511179337</v>
      </c>
      <c r="E16" s="7">
        <f t="shared" si="4"/>
        <v>12.997351735125971</v>
      </c>
      <c r="F16" s="7">
        <f t="shared" si="0"/>
        <v>25.75</v>
      </c>
      <c r="G16" s="7">
        <f t="shared" si="1"/>
        <v>40.384313725490195</v>
      </c>
      <c r="H16" s="7">
        <f>E16*'AHP Bobot'!$B$29 + F16*'AHP Bobot'!$B$30 + G16*'AHP Bobot'!$B$31</f>
        <v>21.273637057594065</v>
      </c>
      <c r="I16" s="6">
        <f t="shared" si="2"/>
        <v>277</v>
      </c>
      <c r="J16" s="8" t="str">
        <f t="shared" si="3"/>
        <v>Hijau (Rendah)</v>
      </c>
    </row>
    <row r="17" spans="1:10" ht="15" customHeight="1" x14ac:dyDescent="0.35">
      <c r="A17" s="6">
        <v>15</v>
      </c>
      <c r="B17" s="6">
        <v>9</v>
      </c>
      <c r="C17" s="6">
        <v>913</v>
      </c>
      <c r="D17" s="7">
        <v>555.42500189593602</v>
      </c>
      <c r="E17" s="7">
        <f t="shared" si="4"/>
        <v>12.893907503013367</v>
      </c>
      <c r="F17" s="7">
        <f t="shared" si="0"/>
        <v>28.84375</v>
      </c>
      <c r="G17" s="7">
        <f t="shared" si="1"/>
        <v>40.384313725490195</v>
      </c>
      <c r="H17" s="7">
        <f>E17*'AHP Bobot'!$B$29 + F17*'AHP Bobot'!$B$30 + G17*'AHP Bobot'!$B$31</f>
        <v>22.137527503922989</v>
      </c>
      <c r="I17" s="6">
        <f t="shared" si="2"/>
        <v>271</v>
      </c>
      <c r="J17" s="8" t="str">
        <f t="shared" si="3"/>
        <v>Hijau (Rendah)</v>
      </c>
    </row>
    <row r="18" spans="1:10" ht="15" customHeight="1" x14ac:dyDescent="0.35">
      <c r="A18" s="6">
        <v>16</v>
      </c>
      <c r="B18" s="6">
        <v>2</v>
      </c>
      <c r="C18" s="6">
        <v>447</v>
      </c>
      <c r="D18" s="7">
        <v>570.44276740513897</v>
      </c>
      <c r="E18" s="7">
        <f t="shared" si="4"/>
        <v>13.738886223095156</v>
      </c>
      <c r="F18" s="7">
        <f t="shared" si="0"/>
        <v>7.1875</v>
      </c>
      <c r="G18" s="7">
        <f t="shared" si="1"/>
        <v>20.28235294117647</v>
      </c>
      <c r="H18" s="7">
        <f>E18*'AHP Bobot'!$B$29 + F18*'AHP Bobot'!$B$30 + G18*'AHP Bobot'!$B$31</f>
        <v>12.863125632250462</v>
      </c>
      <c r="I18" s="6">
        <f t="shared" si="2"/>
        <v>346</v>
      </c>
      <c r="J18" s="8" t="str">
        <f t="shared" si="3"/>
        <v>Hijau Muda (Sangat Rendah)</v>
      </c>
    </row>
    <row r="19" spans="1:10" ht="15" customHeight="1" x14ac:dyDescent="0.35">
      <c r="A19" s="6">
        <v>17</v>
      </c>
      <c r="B19" s="6">
        <v>7</v>
      </c>
      <c r="C19" s="6">
        <v>875</v>
      </c>
      <c r="D19" s="7">
        <v>587.23566854903095</v>
      </c>
      <c r="E19" s="7">
        <f t="shared" si="4"/>
        <v>14.683743439458699</v>
      </c>
      <c r="F19" s="7">
        <f t="shared" si="0"/>
        <v>22.65625</v>
      </c>
      <c r="G19" s="7">
        <f t="shared" si="1"/>
        <v>38.745098039215691</v>
      </c>
      <c r="H19" s="7">
        <f>E19*'AHP Bobot'!$B$29 + F19*'AHP Bobot'!$B$30 + G19*'AHP Bobot'!$B$31</f>
        <v>20.994421792335938</v>
      </c>
      <c r="I19" s="6">
        <f t="shared" si="2"/>
        <v>283</v>
      </c>
      <c r="J19" s="8" t="str">
        <f t="shared" si="3"/>
        <v>Hijau (Rendah)</v>
      </c>
    </row>
    <row r="20" spans="1:10" ht="15" customHeight="1" x14ac:dyDescent="0.35">
      <c r="A20" s="6">
        <v>18</v>
      </c>
      <c r="B20" s="6">
        <v>5</v>
      </c>
      <c r="C20" s="6">
        <v>617</v>
      </c>
      <c r="D20" s="7">
        <v>602.50206474003403</v>
      </c>
      <c r="E20" s="7">
        <f t="shared" si="4"/>
        <v>15.542711433454228</v>
      </c>
      <c r="F20" s="7">
        <f t="shared" si="0"/>
        <v>16.46875</v>
      </c>
      <c r="G20" s="7">
        <f t="shared" si="1"/>
        <v>27.615686274509805</v>
      </c>
      <c r="H20" s="7">
        <f>E20*'AHP Bobot'!$B$29 + F20*'AHP Bobot'!$B$30 + G20*'AHP Bobot'!$B$31</f>
        <v>17.795303914216472</v>
      </c>
      <c r="I20" s="6">
        <f t="shared" si="2"/>
        <v>316</v>
      </c>
      <c r="J20" s="8" t="str">
        <f t="shared" si="3"/>
        <v>Hijau Muda (Sangat Rendah)</v>
      </c>
    </row>
    <row r="21" spans="1:10" ht="15" customHeight="1" x14ac:dyDescent="0.35">
      <c r="A21" s="6">
        <v>19</v>
      </c>
      <c r="B21" s="6">
        <v>1</v>
      </c>
      <c r="C21" s="6">
        <v>274</v>
      </c>
      <c r="D21" s="7">
        <v>617.51958682715394</v>
      </c>
      <c r="E21" s="7">
        <f t="shared" si="4"/>
        <v>16.387676457325352</v>
      </c>
      <c r="F21" s="7">
        <f t="shared" si="0"/>
        <v>4.09375</v>
      </c>
      <c r="G21" s="7">
        <f t="shared" si="1"/>
        <v>12.819607843137254</v>
      </c>
      <c r="H21" s="7">
        <f>E21*'AHP Bobot'!$B$29 + F21*'AHP Bobot'!$B$30 + G21*'AHP Bobot'!$B$31</f>
        <v>12.148824165955407</v>
      </c>
      <c r="I21" s="6">
        <f t="shared" si="2"/>
        <v>350</v>
      </c>
      <c r="J21" s="8" t="str">
        <f t="shared" si="3"/>
        <v>Hijau Muda (Sangat Rendah)</v>
      </c>
    </row>
    <row r="22" spans="1:10" ht="15" customHeight="1" x14ac:dyDescent="0.35">
      <c r="A22" s="6">
        <v>20</v>
      </c>
      <c r="B22" s="6">
        <v>0</v>
      </c>
      <c r="C22" s="6">
        <v>281</v>
      </c>
      <c r="D22" s="7">
        <v>555.35055583418796</v>
      </c>
      <c r="E22" s="7">
        <f t="shared" si="4"/>
        <v>12.889718774807932</v>
      </c>
      <c r="F22" s="7">
        <f t="shared" si="0"/>
        <v>1</v>
      </c>
      <c r="G22" s="7">
        <f t="shared" si="1"/>
        <v>13.12156862745098</v>
      </c>
      <c r="H22" s="7">
        <f>E22*'AHP Bobot'!$B$29 + F22*'AHP Bobot'!$B$30 + G22*'AHP Bobot'!$B$31</f>
        <v>9.393373739691846</v>
      </c>
      <c r="I22" s="6">
        <f t="shared" si="2"/>
        <v>365</v>
      </c>
      <c r="J22" s="8" t="str">
        <f t="shared" si="3"/>
        <v>Hijau Muda (Sangat Rendah)</v>
      </c>
    </row>
    <row r="23" spans="1:10" ht="15" customHeight="1" x14ac:dyDescent="0.35">
      <c r="A23" s="6">
        <v>21</v>
      </c>
      <c r="B23" s="6">
        <v>3</v>
      </c>
      <c r="C23" s="6">
        <v>801</v>
      </c>
      <c r="D23" s="7">
        <v>548.86834553518099</v>
      </c>
      <c r="E23" s="7">
        <f t="shared" si="4"/>
        <v>12.52499542376084</v>
      </c>
      <c r="F23" s="7">
        <f t="shared" si="0"/>
        <v>10.28125</v>
      </c>
      <c r="G23" s="7">
        <f t="shared" si="1"/>
        <v>35.55294117647059</v>
      </c>
      <c r="H23" s="7">
        <f>E23*'AHP Bobot'!$B$29 + F23*'AHP Bobot'!$B$30 + G23*'AHP Bobot'!$B$31</f>
        <v>15.629555720496516</v>
      </c>
      <c r="I23" s="6">
        <f t="shared" si="2"/>
        <v>331</v>
      </c>
      <c r="J23" s="8" t="str">
        <f t="shared" si="3"/>
        <v>Hijau Muda (Sangat Rendah)</v>
      </c>
    </row>
    <row r="24" spans="1:10" ht="15" customHeight="1" x14ac:dyDescent="0.35">
      <c r="A24" s="6">
        <v>22</v>
      </c>
      <c r="B24" s="6">
        <v>0</v>
      </c>
      <c r="C24" s="6">
        <v>271</v>
      </c>
      <c r="D24" s="7">
        <v>554.71061818144506</v>
      </c>
      <c r="E24" s="7">
        <f t="shared" si="4"/>
        <v>12.853712506204557</v>
      </c>
      <c r="F24" s="7">
        <f t="shared" si="0"/>
        <v>1</v>
      </c>
      <c r="G24" s="7">
        <f t="shared" si="1"/>
        <v>12.690196078431372</v>
      </c>
      <c r="H24" s="7">
        <f>E24*'AHP Bobot'!$B$29 + F24*'AHP Bobot'!$B$30 + G24*'AHP Bobot'!$B$31</f>
        <v>9.3033172813410712</v>
      </c>
      <c r="I24" s="6">
        <f t="shared" si="2"/>
        <v>366</v>
      </c>
      <c r="J24" s="8" t="str">
        <f t="shared" si="3"/>
        <v>Hijau Muda (Sangat Rendah)</v>
      </c>
    </row>
    <row r="25" spans="1:10" ht="15" customHeight="1" x14ac:dyDescent="0.35">
      <c r="A25" s="6">
        <v>23</v>
      </c>
      <c r="B25" s="6">
        <v>1</v>
      </c>
      <c r="C25" s="6">
        <v>397</v>
      </c>
      <c r="D25" s="7">
        <v>553.55075545283705</v>
      </c>
      <c r="E25" s="7">
        <f t="shared" si="4"/>
        <v>12.788452509749746</v>
      </c>
      <c r="F25" s="7">
        <f t="shared" si="0"/>
        <v>4.09375</v>
      </c>
      <c r="G25" s="7">
        <f t="shared" si="1"/>
        <v>18.125490196078431</v>
      </c>
      <c r="H25" s="7">
        <f>E25*'AHP Bobot'!$B$29 + F25*'AHP Bobot'!$B$30 + G25*'AHP Bobot'!$B$31</f>
        <v>11.077983621423423</v>
      </c>
      <c r="I25" s="6">
        <f t="shared" si="2"/>
        <v>355</v>
      </c>
      <c r="J25" s="8" t="str">
        <f t="shared" si="3"/>
        <v>Hijau Muda (Sangat Rendah)</v>
      </c>
    </row>
    <row r="26" spans="1:10" ht="15" customHeight="1" x14ac:dyDescent="0.35">
      <c r="A26" s="6">
        <v>24</v>
      </c>
      <c r="B26" s="6">
        <v>5</v>
      </c>
      <c r="C26" s="6">
        <v>879</v>
      </c>
      <c r="D26" s="7">
        <v>518.28016145417496</v>
      </c>
      <c r="E26" s="7">
        <f t="shared" si="4"/>
        <v>10.803942806541858</v>
      </c>
      <c r="F26" s="7">
        <f t="shared" si="0"/>
        <v>16.46875</v>
      </c>
      <c r="G26" s="7">
        <f t="shared" si="1"/>
        <v>38.917647058823533</v>
      </c>
      <c r="H26" s="7">
        <f>E26*'AHP Bobot'!$B$29 + F26*'AHP Bobot'!$B$30 + G26*'AHP Bobot'!$B$31</f>
        <v>17.092334890937742</v>
      </c>
      <c r="I26" s="6">
        <f t="shared" si="2"/>
        <v>322</v>
      </c>
      <c r="J26" s="8" t="str">
        <f t="shared" si="3"/>
        <v>Hijau Muda (Sangat Rendah)</v>
      </c>
    </row>
    <row r="27" spans="1:10" ht="15" customHeight="1" x14ac:dyDescent="0.35">
      <c r="A27" s="6">
        <v>25</v>
      </c>
      <c r="B27" s="6">
        <v>8</v>
      </c>
      <c r="C27" s="6">
        <v>913</v>
      </c>
      <c r="D27" s="7">
        <v>487.092021796464</v>
      </c>
      <c r="E27" s="7">
        <f t="shared" si="4"/>
        <v>9.0491335232596466</v>
      </c>
      <c r="F27" s="7">
        <f t="shared" si="0"/>
        <v>25.75</v>
      </c>
      <c r="G27" s="7">
        <f t="shared" si="1"/>
        <v>40.384313725490195</v>
      </c>
      <c r="H27" s="7">
        <f>E27*'AHP Bobot'!$B$29 + F27*'AHP Bobot'!$B$30 + G27*'AHP Bobot'!$B$31</f>
        <v>19.145701268081698</v>
      </c>
      <c r="I27" s="6">
        <f t="shared" si="2"/>
        <v>303</v>
      </c>
      <c r="J27" s="8" t="str">
        <f t="shared" si="3"/>
        <v>Hijau Muda (Sangat Rendah)</v>
      </c>
    </row>
    <row r="28" spans="1:10" ht="15" customHeight="1" x14ac:dyDescent="0.35">
      <c r="A28" s="6">
        <v>26</v>
      </c>
      <c r="B28" s="6">
        <v>3</v>
      </c>
      <c r="C28" s="6">
        <v>492</v>
      </c>
      <c r="D28" s="7">
        <v>513.74507232471603</v>
      </c>
      <c r="E28" s="7">
        <f t="shared" si="4"/>
        <v>10.548774765349663</v>
      </c>
      <c r="F28" s="7">
        <f t="shared" si="0"/>
        <v>10.28125</v>
      </c>
      <c r="G28" s="7">
        <f t="shared" si="1"/>
        <v>22.223529411764705</v>
      </c>
      <c r="H28" s="7">
        <f>E28*'AHP Bobot'!$B$29 + F28*'AHP Bobot'!$B$30 + G28*'AHP Bobot'!$B$31</f>
        <v>12.38134987459364</v>
      </c>
      <c r="I28" s="6">
        <f t="shared" si="2"/>
        <v>348</v>
      </c>
      <c r="J28" s="8" t="str">
        <f t="shared" si="3"/>
        <v>Hijau Muda (Sangat Rendah)</v>
      </c>
    </row>
    <row r="29" spans="1:10" ht="15" customHeight="1" x14ac:dyDescent="0.35">
      <c r="A29" s="6">
        <v>27</v>
      </c>
      <c r="B29" s="6">
        <v>0</v>
      </c>
      <c r="C29" s="6">
        <v>10</v>
      </c>
      <c r="D29" s="7">
        <v>545.85199175694197</v>
      </c>
      <c r="E29" s="7">
        <f t="shared" si="4"/>
        <v>12.355279446154958</v>
      </c>
      <c r="F29" s="7">
        <f t="shared" si="0"/>
        <v>1</v>
      </c>
      <c r="G29" s="7">
        <f t="shared" si="1"/>
        <v>1.4313725490196079</v>
      </c>
      <c r="H29" s="7">
        <f>E29*'AHP Bobot'!$B$29 + F29*'AHP Bobot'!$B$30 + G29*'AHP Bobot'!$B$31</f>
        <v>7.190703690407795</v>
      </c>
      <c r="I29" s="6">
        <f t="shared" si="2"/>
        <v>374</v>
      </c>
      <c r="J29" s="8" t="str">
        <f t="shared" si="3"/>
        <v>Hijau Muda (Sangat Rendah)</v>
      </c>
    </row>
    <row r="30" spans="1:10" ht="15" customHeight="1" x14ac:dyDescent="0.35">
      <c r="A30" s="6">
        <v>28</v>
      </c>
      <c r="B30" s="6">
        <v>7</v>
      </c>
      <c r="C30" s="6">
        <v>979</v>
      </c>
      <c r="D30" s="7">
        <v>563.14588859261903</v>
      </c>
      <c r="E30" s="7">
        <f t="shared" si="4"/>
        <v>13.328325323351672</v>
      </c>
      <c r="F30" s="7">
        <f t="shared" si="0"/>
        <v>22.65625</v>
      </c>
      <c r="G30" s="7">
        <f t="shared" si="1"/>
        <v>43.231372549019611</v>
      </c>
      <c r="H30" s="7">
        <f>E30*'AHP Bobot'!$B$29 + F30*'AHP Bobot'!$B$30 + G30*'AHP Bobot'!$B$31</f>
        <v>20.998669253370238</v>
      </c>
      <c r="I30" s="6">
        <f t="shared" si="2"/>
        <v>282</v>
      </c>
      <c r="J30" s="8" t="str">
        <f t="shared" si="3"/>
        <v>Hijau (Rendah)</v>
      </c>
    </row>
    <row r="31" spans="1:10" ht="15" customHeight="1" x14ac:dyDescent="0.35">
      <c r="A31" s="6">
        <v>29</v>
      </c>
      <c r="B31" s="6">
        <v>9</v>
      </c>
      <c r="C31" s="6">
        <v>1248</v>
      </c>
      <c r="D31" s="7">
        <v>580.11469623849598</v>
      </c>
      <c r="E31" s="7">
        <f t="shared" si="4"/>
        <v>14.283079967585575</v>
      </c>
      <c r="F31" s="7">
        <f t="shared" si="0"/>
        <v>28.84375</v>
      </c>
      <c r="G31" s="7">
        <f t="shared" si="1"/>
        <v>54.835294117647052</v>
      </c>
      <c r="H31" s="7">
        <f>E31*'AHP Bobot'!$B$29 + F31*'AHP Bobot'!$B$30 + G31*'AHP Bobot'!$B$31</f>
        <v>25.2530284996337</v>
      </c>
      <c r="I31" s="6">
        <f t="shared" si="2"/>
        <v>236</v>
      </c>
      <c r="J31" s="8" t="str">
        <f t="shared" si="3"/>
        <v>Hijau (Rendah)</v>
      </c>
    </row>
    <row r="32" spans="1:10" ht="15" customHeight="1" x14ac:dyDescent="0.35">
      <c r="A32" s="6">
        <v>30</v>
      </c>
      <c r="B32" s="6">
        <v>0</v>
      </c>
      <c r="C32" s="6">
        <v>127</v>
      </c>
      <c r="D32" s="7">
        <v>594.166835900509</v>
      </c>
      <c r="E32" s="7">
        <f t="shared" si="4"/>
        <v>15.073727482939443</v>
      </c>
      <c r="F32" s="7">
        <f t="shared" si="0"/>
        <v>1</v>
      </c>
      <c r="G32" s="7">
        <f t="shared" si="1"/>
        <v>6.4784313725490197</v>
      </c>
      <c r="H32" s="7">
        <f>E32*'AHP Bobot'!$B$29 + F32*'AHP Bobot'!$B$30 + G32*'AHP Bobot'!$B$31</f>
        <v>9.4824519129324614</v>
      </c>
      <c r="I32" s="6">
        <f t="shared" si="2"/>
        <v>364</v>
      </c>
      <c r="J32" s="8" t="str">
        <f t="shared" si="3"/>
        <v>Hijau Muda (Sangat Rendah)</v>
      </c>
    </row>
    <row r="33" spans="1:10" ht="15" customHeight="1" x14ac:dyDescent="0.35">
      <c r="A33" s="6">
        <v>31</v>
      </c>
      <c r="B33" s="6">
        <v>0</v>
      </c>
      <c r="C33" s="6">
        <v>16</v>
      </c>
      <c r="D33" s="7">
        <v>701.97664065145295</v>
      </c>
      <c r="E33" s="7">
        <f t="shared" si="4"/>
        <v>21.139675894165855</v>
      </c>
      <c r="F33" s="7">
        <f t="shared" si="0"/>
        <v>1</v>
      </c>
      <c r="G33" s="7">
        <f t="shared" si="1"/>
        <v>1.6901960784313725</v>
      </c>
      <c r="H33" s="7">
        <f>E33*'AHP Bobot'!$B$29 + F33*'AHP Bobot'!$B$30 + G33*'AHP Bobot'!$B$31</f>
        <v>11.967541416122522</v>
      </c>
      <c r="I33" s="6">
        <f t="shared" si="2"/>
        <v>351</v>
      </c>
      <c r="J33" s="8" t="str">
        <f t="shared" si="3"/>
        <v>Hijau Muda (Sangat Rendah)</v>
      </c>
    </row>
    <row r="34" spans="1:10" ht="15" customHeight="1" x14ac:dyDescent="0.35">
      <c r="A34" s="6">
        <v>32</v>
      </c>
      <c r="B34" s="6">
        <v>1</v>
      </c>
      <c r="C34" s="6">
        <v>156</v>
      </c>
      <c r="D34" s="7">
        <v>671.46686883888196</v>
      </c>
      <c r="E34" s="7">
        <f t="shared" si="4"/>
        <v>19.423035164865905</v>
      </c>
      <c r="F34" s="7">
        <f t="shared" si="0"/>
        <v>4.09375</v>
      </c>
      <c r="G34" s="7">
        <f t="shared" si="1"/>
        <v>7.7294117647058815</v>
      </c>
      <c r="H34" s="7">
        <f>E34*'AHP Bobot'!$B$29 + F34*'AHP Bobot'!$B$30 + G34*'AHP Bobot'!$B$31</f>
        <v>12.951088556091678</v>
      </c>
      <c r="I34" s="6">
        <f t="shared" si="2"/>
        <v>345</v>
      </c>
      <c r="J34" s="8" t="str">
        <f t="shared" si="3"/>
        <v>Hijau Muda (Sangat Rendah)</v>
      </c>
    </row>
    <row r="35" spans="1:10" ht="15" customHeight="1" x14ac:dyDescent="0.35">
      <c r="A35" s="6">
        <v>33</v>
      </c>
      <c r="B35" s="6">
        <v>2</v>
      </c>
      <c r="C35" s="6">
        <v>224</v>
      </c>
      <c r="D35" s="7">
        <v>633.07053852020704</v>
      </c>
      <c r="E35" s="7">
        <f t="shared" si="4"/>
        <v>17.262655045158368</v>
      </c>
      <c r="F35" s="7">
        <f t="shared" si="0"/>
        <v>7.1875</v>
      </c>
      <c r="G35" s="7">
        <f t="shared" si="1"/>
        <v>10.662745098039215</v>
      </c>
      <c r="H35" s="7">
        <f>E35*'AHP Bobot'!$B$29 + F35*'AHP Bobot'!$B$30 + G35*'AHP Bobot'!$B$31</f>
        <v>13.186793979789467</v>
      </c>
      <c r="I35" s="6">
        <f t="shared" si="2"/>
        <v>343</v>
      </c>
      <c r="J35" s="8" t="str">
        <f t="shared" si="3"/>
        <v>Hijau Muda (Sangat Rendah)</v>
      </c>
    </row>
    <row r="36" spans="1:10" ht="15" customHeight="1" x14ac:dyDescent="0.35">
      <c r="A36" s="6">
        <v>34</v>
      </c>
      <c r="B36" s="6">
        <v>1</v>
      </c>
      <c r="C36" s="6">
        <v>39</v>
      </c>
      <c r="D36" s="7">
        <v>594.49072328751197</v>
      </c>
      <c r="E36" s="7">
        <f t="shared" si="4"/>
        <v>15.091951096136272</v>
      </c>
      <c r="F36" s="7">
        <f t="shared" si="0"/>
        <v>4.09375</v>
      </c>
      <c r="G36" s="7">
        <f t="shared" si="1"/>
        <v>2.6823529411764704</v>
      </c>
      <c r="H36" s="7">
        <f>E36*'AHP Bobot'!$B$29 + F36*'AHP Bobot'!$B$30 + G36*'AHP Bobot'!$B$31</f>
        <v>9.7901923423238504</v>
      </c>
      <c r="I36" s="6">
        <f t="shared" si="2"/>
        <v>362</v>
      </c>
      <c r="J36" s="8" t="str">
        <f t="shared" si="3"/>
        <v>Hijau Muda (Sangat Rendah)</v>
      </c>
    </row>
    <row r="37" spans="1:10" ht="15" customHeight="1" x14ac:dyDescent="0.35">
      <c r="A37" s="6">
        <v>35</v>
      </c>
      <c r="B37" s="6">
        <v>0</v>
      </c>
      <c r="C37" s="6">
        <v>94</v>
      </c>
      <c r="D37" s="7">
        <v>564.36457531194003</v>
      </c>
      <c r="E37" s="7">
        <f t="shared" si="4"/>
        <v>13.396895067874683</v>
      </c>
      <c r="F37" s="7">
        <f t="shared" si="0"/>
        <v>1</v>
      </c>
      <c r="G37" s="7">
        <f t="shared" si="1"/>
        <v>5.0549019607843135</v>
      </c>
      <c r="H37" s="7">
        <f>E37*'AHP Bobot'!$B$29 + F37*'AHP Bobot'!$B$30 + G37*'AHP Bobot'!$B$31</f>
        <v>8.3455579803754887</v>
      </c>
      <c r="I37" s="6">
        <f t="shared" si="2"/>
        <v>372</v>
      </c>
      <c r="J37" s="8" t="str">
        <f t="shared" si="3"/>
        <v>Hijau Muda (Sangat Rendah)</v>
      </c>
    </row>
    <row r="38" spans="1:10" ht="15" customHeight="1" x14ac:dyDescent="0.35">
      <c r="A38" s="6">
        <v>36</v>
      </c>
      <c r="B38" s="6">
        <v>3</v>
      </c>
      <c r="C38" s="6">
        <v>277</v>
      </c>
      <c r="D38" s="7">
        <v>522.63576842433201</v>
      </c>
      <c r="E38" s="7">
        <f t="shared" si="4"/>
        <v>11.049012234518163</v>
      </c>
      <c r="F38" s="7">
        <f t="shared" si="0"/>
        <v>10.28125</v>
      </c>
      <c r="G38" s="7">
        <f t="shared" si="1"/>
        <v>12.949019607843137</v>
      </c>
      <c r="H38" s="7">
        <f>E38*'AHP Bobot'!$B$29 + F38*'AHP Bobot'!$B$30 + G38*'AHP Bobot'!$B$31</f>
        <v>11.13197300877739</v>
      </c>
      <c r="I38" s="6">
        <f t="shared" si="2"/>
        <v>354</v>
      </c>
      <c r="J38" s="8" t="str">
        <f t="shared" si="3"/>
        <v>Hijau Muda (Sangat Rendah)</v>
      </c>
    </row>
    <row r="39" spans="1:10" ht="15" customHeight="1" x14ac:dyDescent="0.35">
      <c r="A39" s="6">
        <v>37</v>
      </c>
      <c r="B39" s="6">
        <v>0</v>
      </c>
      <c r="C39" s="6">
        <v>51</v>
      </c>
      <c r="D39" s="7">
        <v>521.77929973663595</v>
      </c>
      <c r="E39" s="7">
        <f t="shared" si="4"/>
        <v>11.00082278748784</v>
      </c>
      <c r="F39" s="7">
        <f t="shared" si="0"/>
        <v>1</v>
      </c>
      <c r="G39" s="7">
        <f t="shared" si="1"/>
        <v>3.2</v>
      </c>
      <c r="H39" s="7">
        <f>E39*'AHP Bobot'!$B$29 + F39*'AHP Bobot'!$B$30 + G39*'AHP Bobot'!$B$31</f>
        <v>6.7503713003271404</v>
      </c>
      <c r="I39" s="6">
        <f t="shared" si="2"/>
        <v>376</v>
      </c>
      <c r="J39" s="8" t="str">
        <f t="shared" si="3"/>
        <v>Hijau Muda (Sangat Rendah)</v>
      </c>
    </row>
    <row r="40" spans="1:10" ht="15" customHeight="1" x14ac:dyDescent="0.35">
      <c r="A40" s="6">
        <v>38</v>
      </c>
      <c r="B40" s="6">
        <v>0</v>
      </c>
      <c r="C40" s="6">
        <v>39</v>
      </c>
      <c r="D40" s="7">
        <v>508.01123738319501</v>
      </c>
      <c r="E40" s="7">
        <f t="shared" si="4"/>
        <v>10.226158960283477</v>
      </c>
      <c r="F40" s="7">
        <f t="shared" si="0"/>
        <v>1</v>
      </c>
      <c r="G40" s="7">
        <f t="shared" si="1"/>
        <v>2.6823529411764704</v>
      </c>
      <c r="H40" s="7">
        <f>E40*'AHP Bobot'!$B$29 + F40*'AHP Bobot'!$B$30 + G40*'AHP Bobot'!$B$31</f>
        <v>6.2480771002733171</v>
      </c>
      <c r="I40" s="6">
        <f t="shared" si="2"/>
        <v>378</v>
      </c>
      <c r="J40" s="8" t="str">
        <f t="shared" si="3"/>
        <v>Hijau Muda (Sangat Rendah)</v>
      </c>
    </row>
    <row r="41" spans="1:10" ht="15" customHeight="1" x14ac:dyDescent="0.35">
      <c r="A41" s="6">
        <v>39</v>
      </c>
      <c r="B41" s="6">
        <v>3</v>
      </c>
      <c r="C41" s="6">
        <v>655</v>
      </c>
      <c r="D41" s="7">
        <v>503.10791828900699</v>
      </c>
      <c r="E41" s="7">
        <f t="shared" si="4"/>
        <v>9.950272358523673</v>
      </c>
      <c r="F41" s="7">
        <f t="shared" si="0"/>
        <v>10.28125</v>
      </c>
      <c r="G41" s="7">
        <f t="shared" si="1"/>
        <v>29.254901960784313</v>
      </c>
      <c r="H41" s="7">
        <f>E41*'AHP Bobot'!$B$29 + F41*'AHP Bobot'!$B$30 + G41*'AHP Bobot'!$B$31</f>
        <v>13.210383258957592</v>
      </c>
      <c r="I41" s="6">
        <f t="shared" si="2"/>
        <v>342</v>
      </c>
      <c r="J41" s="8" t="str">
        <f t="shared" si="3"/>
        <v>Hijau Muda (Sangat Rendah)</v>
      </c>
    </row>
    <row r="42" spans="1:10" ht="15" customHeight="1" x14ac:dyDescent="0.35">
      <c r="A42" s="6">
        <v>40</v>
      </c>
      <c r="B42" s="6">
        <v>2</v>
      </c>
      <c r="C42" s="6">
        <v>913</v>
      </c>
      <c r="D42" s="7">
        <v>492.84743505097902</v>
      </c>
      <c r="E42" s="7">
        <f t="shared" si="4"/>
        <v>9.3729634380603333</v>
      </c>
      <c r="F42" s="7">
        <f t="shared" si="0"/>
        <v>7.1875</v>
      </c>
      <c r="G42" s="7">
        <f t="shared" si="1"/>
        <v>40.384313725490195</v>
      </c>
      <c r="H42" s="7">
        <f>E42*'AHP Bobot'!$B$29 + F42*'AHP Bobot'!$B$30 + G42*'AHP Bobot'!$B$31</f>
        <v>13.802375832552197</v>
      </c>
      <c r="I42" s="6">
        <f t="shared" si="2"/>
        <v>340</v>
      </c>
      <c r="J42" s="8" t="str">
        <f t="shared" si="3"/>
        <v>Hijau Muda (Sangat Rendah)</v>
      </c>
    </row>
    <row r="43" spans="1:10" ht="15" customHeight="1" x14ac:dyDescent="0.35">
      <c r="A43" s="6">
        <v>41</v>
      </c>
      <c r="B43" s="6">
        <v>4</v>
      </c>
      <c r="C43" s="6">
        <v>913</v>
      </c>
      <c r="D43" s="7">
        <v>532.71090810685803</v>
      </c>
      <c r="E43" s="7">
        <f t="shared" si="4"/>
        <v>11.615892748691135</v>
      </c>
      <c r="F43" s="7">
        <f t="shared" si="0"/>
        <v>13.375</v>
      </c>
      <c r="G43" s="7">
        <f t="shared" si="1"/>
        <v>40.384313725490195</v>
      </c>
      <c r="H43" s="7">
        <f>E43*'AHP Bobot'!$B$29 + F43*'AHP Bobot'!$B$30 + G43*'AHP Bobot'!$B$31</f>
        <v>16.850513058411654</v>
      </c>
      <c r="I43" s="6">
        <f t="shared" si="2"/>
        <v>324</v>
      </c>
      <c r="J43" s="8" t="str">
        <f t="shared" si="3"/>
        <v>Hijau Muda (Sangat Rendah)</v>
      </c>
    </row>
    <row r="44" spans="1:10" ht="15" customHeight="1" x14ac:dyDescent="0.35">
      <c r="A44" s="6">
        <v>42</v>
      </c>
      <c r="B44" s="6">
        <v>6</v>
      </c>
      <c r="C44" s="6">
        <v>913</v>
      </c>
      <c r="D44" s="7">
        <v>511.83076543139799</v>
      </c>
      <c r="E44" s="7">
        <f t="shared" si="4"/>
        <v>10.441065759800976</v>
      </c>
      <c r="F44" s="7">
        <f t="shared" si="0"/>
        <v>19.5625</v>
      </c>
      <c r="G44" s="7">
        <f t="shared" si="1"/>
        <v>40.384313725490195</v>
      </c>
      <c r="H44" s="7">
        <f>E44*'AHP Bobot'!$B$29 + F44*'AHP Bobot'!$B$30 + G44*'AHP Bobot'!$B$31</f>
        <v>18.056612798165659</v>
      </c>
      <c r="I44" s="6">
        <f t="shared" si="2"/>
        <v>313</v>
      </c>
      <c r="J44" s="8" t="str">
        <f t="shared" si="3"/>
        <v>Hijau Muda (Sangat Rendah)</v>
      </c>
    </row>
    <row r="45" spans="1:10" ht="15" customHeight="1" x14ac:dyDescent="0.35">
      <c r="A45" s="6">
        <v>43</v>
      </c>
      <c r="B45" s="6">
        <v>11</v>
      </c>
      <c r="C45" s="6">
        <v>913</v>
      </c>
      <c r="D45" s="7">
        <v>418.46179805227598</v>
      </c>
      <c r="E45" s="7">
        <f t="shared" si="4"/>
        <v>5.1876350478204234</v>
      </c>
      <c r="F45" s="7">
        <f t="shared" si="0"/>
        <v>35.03125</v>
      </c>
      <c r="G45" s="7">
        <f t="shared" si="1"/>
        <v>40.384313725490195</v>
      </c>
      <c r="H45" s="7">
        <f>E45*'AHP Bobot'!$B$29 + F45*'AHP Bobot'!$B$30 + G45*'AHP Bobot'!$B$31</f>
        <v>19.823432609241078</v>
      </c>
      <c r="I45" s="6">
        <f t="shared" si="2"/>
        <v>294</v>
      </c>
      <c r="J45" s="8" t="str">
        <f t="shared" si="3"/>
        <v>Hijau (Rendah)</v>
      </c>
    </row>
    <row r="46" spans="1:10" ht="15" customHeight="1" x14ac:dyDescent="0.35">
      <c r="A46" s="6">
        <v>44</v>
      </c>
      <c r="B46" s="6">
        <v>7</v>
      </c>
      <c r="C46" s="6">
        <v>982</v>
      </c>
      <c r="D46" s="7">
        <v>425.310714207557</v>
      </c>
      <c r="E46" s="7">
        <f t="shared" si="4"/>
        <v>5.5729912050523662</v>
      </c>
      <c r="F46" s="7">
        <f t="shared" si="0"/>
        <v>22.65625</v>
      </c>
      <c r="G46" s="7">
        <f t="shared" si="1"/>
        <v>43.360784313725489</v>
      </c>
      <c r="H46" s="7">
        <f>E46*'AHP Bobot'!$B$29 + F46*'AHP Bobot'!$B$30 + G46*'AHP Bobot'!$B$31</f>
        <v>16.840041464206209</v>
      </c>
      <c r="I46" s="6">
        <f t="shared" si="2"/>
        <v>325</v>
      </c>
      <c r="J46" s="8" t="str">
        <f t="shared" si="3"/>
        <v>Hijau Muda (Sangat Rendah)</v>
      </c>
    </row>
    <row r="47" spans="1:10" ht="15" customHeight="1" x14ac:dyDescent="0.35">
      <c r="A47" s="6">
        <v>45</v>
      </c>
      <c r="B47" s="6">
        <v>9</v>
      </c>
      <c r="C47" s="6">
        <v>776</v>
      </c>
      <c r="D47" s="7">
        <v>498.026006309732</v>
      </c>
      <c r="E47" s="7">
        <f t="shared" si="4"/>
        <v>9.6643371788070471</v>
      </c>
      <c r="F47" s="7">
        <f t="shared" si="0"/>
        <v>28.84375</v>
      </c>
      <c r="G47" s="7">
        <f t="shared" si="1"/>
        <v>34.47450980392157</v>
      </c>
      <c r="H47" s="7">
        <f>E47*'AHP Bobot'!$B$29 + F47*'AHP Bobot'!$B$30 + G47*'AHP Bobot'!$B$31</f>
        <v>19.429003317502932</v>
      </c>
      <c r="I47" s="6">
        <f t="shared" si="2"/>
        <v>297</v>
      </c>
      <c r="J47" s="8" t="str">
        <f t="shared" si="3"/>
        <v>Hijau (Rendah)</v>
      </c>
    </row>
    <row r="48" spans="1:10" ht="15" customHeight="1" x14ac:dyDescent="0.35">
      <c r="A48" s="6">
        <v>46</v>
      </c>
      <c r="B48" s="6">
        <v>8</v>
      </c>
      <c r="C48" s="6">
        <v>951</v>
      </c>
      <c r="D48" s="7">
        <v>518.88672571322104</v>
      </c>
      <c r="E48" s="7">
        <f t="shared" si="4"/>
        <v>10.838071311940483</v>
      </c>
      <c r="F48" s="7">
        <f t="shared" si="0"/>
        <v>25.75</v>
      </c>
      <c r="G48" s="7">
        <f t="shared" si="1"/>
        <v>42.023529411764706</v>
      </c>
      <c r="H48" s="7">
        <f>E48*'AHP Bobot'!$B$29 + F48*'AHP Bobot'!$B$30 + G48*'AHP Bobot'!$B$31</f>
        <v>20.378340870483498</v>
      </c>
      <c r="I48" s="6">
        <f t="shared" si="2"/>
        <v>288</v>
      </c>
      <c r="J48" s="8" t="str">
        <f t="shared" si="3"/>
        <v>Hijau (Rendah)</v>
      </c>
    </row>
    <row r="49" spans="1:10" ht="15" customHeight="1" x14ac:dyDescent="0.35">
      <c r="A49" s="6">
        <v>47</v>
      </c>
      <c r="B49" s="6">
        <v>13</v>
      </c>
      <c r="C49" s="6">
        <v>1248</v>
      </c>
      <c r="D49" s="7">
        <v>525.41240403632196</v>
      </c>
      <c r="E49" s="7">
        <f t="shared" si="4"/>
        <v>11.20524040335693</v>
      </c>
      <c r="F49" s="7">
        <f t="shared" si="0"/>
        <v>41.21875</v>
      </c>
      <c r="G49" s="7">
        <f t="shared" si="1"/>
        <v>54.835294117647052</v>
      </c>
      <c r="H49" s="7">
        <f>E49*'AHP Bobot'!$B$29 + F49*'AHP Bobot'!$B$30 + G49*'AHP Bobot'!$B$31</f>
        <v>27.272764318913062</v>
      </c>
      <c r="I49" s="6">
        <f t="shared" si="2"/>
        <v>219</v>
      </c>
      <c r="J49" s="8" t="str">
        <f t="shared" si="3"/>
        <v>Kuning (Sedang)</v>
      </c>
    </row>
    <row r="50" spans="1:10" ht="15" customHeight="1" x14ac:dyDescent="0.35">
      <c r="A50" s="6">
        <v>48</v>
      </c>
      <c r="B50" s="6">
        <v>12</v>
      </c>
      <c r="C50" s="6">
        <v>808</v>
      </c>
      <c r="D50" s="7">
        <v>548.44426582316805</v>
      </c>
      <c r="E50" s="7">
        <f t="shared" si="4"/>
        <v>12.501134461752228</v>
      </c>
      <c r="F50" s="7">
        <f t="shared" si="0"/>
        <v>38.125</v>
      </c>
      <c r="G50" s="7">
        <f t="shared" si="1"/>
        <v>35.854901960784311</v>
      </c>
      <c r="H50" s="7">
        <f>E50*'AHP Bobot'!$B$29 + F50*'AHP Bobot'!$B$30 + G50*'AHP Bobot'!$B$31</f>
        <v>23.942936643598088</v>
      </c>
      <c r="I50" s="6">
        <f t="shared" si="2"/>
        <v>251</v>
      </c>
      <c r="J50" s="8" t="str">
        <f t="shared" si="3"/>
        <v>Hijau (Rendah)</v>
      </c>
    </row>
    <row r="51" spans="1:10" ht="15" customHeight="1" x14ac:dyDescent="0.35">
      <c r="A51" s="6">
        <v>49</v>
      </c>
      <c r="B51" s="6">
        <v>4</v>
      </c>
      <c r="C51" s="6">
        <v>1097</v>
      </c>
      <c r="D51" s="7">
        <v>677.85849156737004</v>
      </c>
      <c r="E51" s="7">
        <f t="shared" si="4"/>
        <v>19.782661581262801</v>
      </c>
      <c r="F51" s="7">
        <f t="shared" si="0"/>
        <v>13.375</v>
      </c>
      <c r="G51" s="7">
        <f t="shared" si="1"/>
        <v>48.321568627450979</v>
      </c>
      <c r="H51" s="7">
        <f>E51*'AHP Bobot'!$B$29 + F51*'AHP Bobot'!$B$30 + G51*'AHP Bobot'!$B$31</f>
        <v>22.552052149808574</v>
      </c>
      <c r="I51" s="6">
        <f t="shared" si="2"/>
        <v>267</v>
      </c>
      <c r="J51" s="8" t="str">
        <f t="shared" si="3"/>
        <v>Hijau (Rendah)</v>
      </c>
    </row>
    <row r="52" spans="1:10" ht="15" customHeight="1" x14ac:dyDescent="0.35">
      <c r="A52" s="6">
        <v>50</v>
      </c>
      <c r="B52" s="6">
        <v>8</v>
      </c>
      <c r="C52" s="6">
        <v>1413</v>
      </c>
      <c r="D52" s="7">
        <v>634.58171881000897</v>
      </c>
      <c r="E52" s="7">
        <f t="shared" si="4"/>
        <v>17.347682021129405</v>
      </c>
      <c r="F52" s="7">
        <f t="shared" si="0"/>
        <v>25.75</v>
      </c>
      <c r="G52" s="7">
        <f t="shared" si="1"/>
        <v>61.952941176470588</v>
      </c>
      <c r="H52" s="7">
        <f>E52*'AHP Bobot'!$B$29 + F52*'AHP Bobot'!$B$30 + G52*'AHP Bobot'!$B$31</f>
        <v>27.150819709121564</v>
      </c>
      <c r="I52" s="6">
        <f t="shared" si="2"/>
        <v>221</v>
      </c>
      <c r="J52" s="8" t="str">
        <f t="shared" si="3"/>
        <v>Kuning (Sedang)</v>
      </c>
    </row>
    <row r="53" spans="1:10" ht="15" customHeight="1" x14ac:dyDescent="0.35">
      <c r="A53" s="6">
        <v>51</v>
      </c>
      <c r="B53" s="6">
        <v>6</v>
      </c>
      <c r="C53" s="6">
        <v>1242</v>
      </c>
      <c r="D53" s="7">
        <v>566.52827827297904</v>
      </c>
      <c r="E53" s="7">
        <f t="shared" si="4"/>
        <v>13.51863641198713</v>
      </c>
      <c r="F53" s="7">
        <f t="shared" si="0"/>
        <v>19.5625</v>
      </c>
      <c r="G53" s="7">
        <f t="shared" si="1"/>
        <v>54.576470588235289</v>
      </c>
      <c r="H53" s="7">
        <f>E53*'AHP Bobot'!$B$29 + F53*'AHP Bobot'!$B$30 + G53*'AHP Bobot'!$B$31</f>
        <v>22.039704345803607</v>
      </c>
      <c r="I53" s="6">
        <f t="shared" si="2"/>
        <v>272</v>
      </c>
      <c r="J53" s="8" t="str">
        <f t="shared" si="3"/>
        <v>Hijau (Rendah)</v>
      </c>
    </row>
    <row r="54" spans="1:10" ht="15" customHeight="1" x14ac:dyDescent="0.35">
      <c r="A54" s="6">
        <v>52</v>
      </c>
      <c r="B54" s="6">
        <v>8</v>
      </c>
      <c r="C54" s="6">
        <v>1297</v>
      </c>
      <c r="D54" s="7">
        <v>518.429882816445</v>
      </c>
      <c r="E54" s="7">
        <f t="shared" si="4"/>
        <v>10.812366920301148</v>
      </c>
      <c r="F54" s="7">
        <f t="shared" si="0"/>
        <v>25.75</v>
      </c>
      <c r="G54" s="7">
        <f t="shared" si="1"/>
        <v>56.949019607843134</v>
      </c>
      <c r="H54" s="7">
        <f>E54*'AHP Bobot'!$B$29 + F54*'AHP Bobot'!$B$30 + G54*'AHP Bobot'!$B$31</f>
        <v>22.808993896425214</v>
      </c>
      <c r="I54" s="6">
        <f t="shared" si="2"/>
        <v>264</v>
      </c>
      <c r="J54" s="8" t="str">
        <f t="shared" si="3"/>
        <v>Hijau (Rendah)</v>
      </c>
    </row>
    <row r="55" spans="1:10" ht="15" customHeight="1" x14ac:dyDescent="0.35">
      <c r="A55" s="6">
        <v>53</v>
      </c>
      <c r="B55" s="6">
        <v>13</v>
      </c>
      <c r="C55" s="6">
        <v>1362</v>
      </c>
      <c r="D55" s="7">
        <v>514.65306945062605</v>
      </c>
      <c r="E55" s="7">
        <f t="shared" si="4"/>
        <v>10.599863474173837</v>
      </c>
      <c r="F55" s="7">
        <f t="shared" si="0"/>
        <v>41.21875</v>
      </c>
      <c r="G55" s="7">
        <f t="shared" si="1"/>
        <v>59.752941176470586</v>
      </c>
      <c r="H55" s="7">
        <f>E55*'AHP Bobot'!$B$29 + F55*'AHP Bobot'!$B$30 + G55*'AHP Bobot'!$B$31</f>
        <v>27.751905239730647</v>
      </c>
      <c r="I55" s="6">
        <f t="shared" si="2"/>
        <v>215</v>
      </c>
      <c r="J55" s="8" t="str">
        <f t="shared" si="3"/>
        <v>Kuning (Sedang)</v>
      </c>
    </row>
    <row r="56" spans="1:10" ht="15" customHeight="1" x14ac:dyDescent="0.35">
      <c r="A56" s="6">
        <v>54</v>
      </c>
      <c r="B56" s="6">
        <v>9</v>
      </c>
      <c r="C56" s="6">
        <v>1316</v>
      </c>
      <c r="D56" s="7">
        <v>483.80386648826197</v>
      </c>
      <c r="E56" s="7">
        <f t="shared" si="4"/>
        <v>8.8641245575748329</v>
      </c>
      <c r="F56" s="7">
        <f t="shared" si="0"/>
        <v>28.84375</v>
      </c>
      <c r="G56" s="7">
        <f t="shared" si="1"/>
        <v>57.768627450980389</v>
      </c>
      <c r="H56" s="7">
        <f>E56*'AHP Bobot'!$B$29 + F56*'AHP Bobot'!$B$30 + G56*'AHP Bobot'!$B$31</f>
        <v>22.812845942194045</v>
      </c>
      <c r="I56" s="6">
        <f t="shared" si="2"/>
        <v>263</v>
      </c>
      <c r="J56" s="8" t="str">
        <f t="shared" si="3"/>
        <v>Hijau (Rendah)</v>
      </c>
    </row>
    <row r="57" spans="1:10" ht="15" customHeight="1" x14ac:dyDescent="0.35">
      <c r="A57" s="6">
        <v>55</v>
      </c>
      <c r="B57" s="6">
        <v>4</v>
      </c>
      <c r="C57" s="6">
        <v>1128</v>
      </c>
      <c r="D57" s="7">
        <v>477.71806092783999</v>
      </c>
      <c r="E57" s="7">
        <f t="shared" si="4"/>
        <v>8.5217050285203442</v>
      </c>
      <c r="F57" s="7">
        <f t="shared" si="0"/>
        <v>13.375</v>
      </c>
      <c r="G57" s="7">
        <f t="shared" si="1"/>
        <v>49.658823529411762</v>
      </c>
      <c r="H57" s="7">
        <f>E57*'AHP Bobot'!$B$29 + F57*'AHP Bobot'!$B$30 + G57*'AHP Bobot'!$B$31</f>
        <v>16.701851801934463</v>
      </c>
      <c r="I57" s="6">
        <f t="shared" si="2"/>
        <v>326</v>
      </c>
      <c r="J57" s="8" t="str">
        <f t="shared" si="3"/>
        <v>Hijau Muda (Sangat Rendah)</v>
      </c>
    </row>
    <row r="58" spans="1:10" ht="15" customHeight="1" x14ac:dyDescent="0.35">
      <c r="A58" s="6">
        <v>56</v>
      </c>
      <c r="B58" s="6">
        <v>4</v>
      </c>
      <c r="C58" s="6">
        <v>810</v>
      </c>
      <c r="D58" s="7">
        <v>463.43119519066602</v>
      </c>
      <c r="E58" s="7">
        <f t="shared" si="4"/>
        <v>7.7178505857818545</v>
      </c>
      <c r="F58" s="7">
        <f t="shared" si="0"/>
        <v>13.375</v>
      </c>
      <c r="G58" s="7">
        <f t="shared" si="1"/>
        <v>35.941176470588239</v>
      </c>
      <c r="H58" s="7">
        <f>E58*'AHP Bobot'!$B$29 + F58*'AHP Bobot'!$B$30 + G58*'AHP Bobot'!$B$31</f>
        <v>14.021920235499694</v>
      </c>
      <c r="I58" s="6">
        <f t="shared" si="2"/>
        <v>339</v>
      </c>
      <c r="J58" s="8" t="str">
        <f t="shared" si="3"/>
        <v>Hijau Muda (Sangat Rendah)</v>
      </c>
    </row>
    <row r="59" spans="1:10" ht="15" customHeight="1" x14ac:dyDescent="0.35">
      <c r="A59" s="6">
        <v>57</v>
      </c>
      <c r="B59" s="6">
        <v>10</v>
      </c>
      <c r="C59" s="6">
        <v>913</v>
      </c>
      <c r="D59" s="7">
        <v>460.797128348348</v>
      </c>
      <c r="E59" s="7">
        <f t="shared" si="4"/>
        <v>7.5696440881062967</v>
      </c>
      <c r="F59" s="7">
        <f t="shared" si="0"/>
        <v>31.9375</v>
      </c>
      <c r="G59" s="7">
        <f t="shared" si="1"/>
        <v>40.384313725490195</v>
      </c>
      <c r="H59" s="7">
        <f>E59*'AHP Bobot'!$B$29 + F59*'AHP Bobot'!$B$30 + G59*'AHP Bobot'!$B$31</f>
        <v>20.18759981926528</v>
      </c>
      <c r="I59" s="6">
        <f t="shared" si="2"/>
        <v>289</v>
      </c>
      <c r="J59" s="8" t="str">
        <f t="shared" si="3"/>
        <v>Hijau (Rendah)</v>
      </c>
    </row>
    <row r="60" spans="1:10" ht="15" customHeight="1" x14ac:dyDescent="0.35">
      <c r="A60" s="6">
        <v>58</v>
      </c>
      <c r="B60" s="6">
        <v>13</v>
      </c>
      <c r="C60" s="6">
        <v>913</v>
      </c>
      <c r="D60" s="7">
        <v>500.77567851736302</v>
      </c>
      <c r="E60" s="7">
        <f t="shared" si="4"/>
        <v>9.8190482442598093</v>
      </c>
      <c r="F60" s="7">
        <f t="shared" si="0"/>
        <v>41.21875</v>
      </c>
      <c r="G60" s="7">
        <f t="shared" si="1"/>
        <v>40.384313725490195</v>
      </c>
      <c r="H60" s="7">
        <f>E60*'AHP Bobot'!$B$29 + F60*'AHP Bobot'!$B$30 + G60*'AHP Bobot'!$B$31</f>
        <v>24.158869591737631</v>
      </c>
      <c r="I60" s="6">
        <f t="shared" si="2"/>
        <v>248</v>
      </c>
      <c r="J60" s="8" t="str">
        <f t="shared" si="3"/>
        <v>Hijau (Rendah)</v>
      </c>
    </row>
    <row r="61" spans="1:10" ht="15" customHeight="1" x14ac:dyDescent="0.35">
      <c r="A61" s="6">
        <v>59</v>
      </c>
      <c r="B61" s="6">
        <v>15</v>
      </c>
      <c r="C61" s="6">
        <v>913</v>
      </c>
      <c r="D61" s="7">
        <v>528.72751002126597</v>
      </c>
      <c r="E61" s="7">
        <f t="shared" si="4"/>
        <v>11.391765756304871</v>
      </c>
      <c r="F61" s="7">
        <f t="shared" si="0"/>
        <v>47.40625</v>
      </c>
      <c r="G61" s="7">
        <f t="shared" si="1"/>
        <v>40.384313725490195</v>
      </c>
      <c r="H61" s="7">
        <f>E61*'AHP Bobot'!$B$29 + F61*'AHP Bobot'!$B$30 + G61*'AHP Bobot'!$B$31</f>
        <v>26.845788770307372</v>
      </c>
      <c r="I61" s="6">
        <f t="shared" si="2"/>
        <v>224</v>
      </c>
      <c r="J61" s="8" t="str">
        <f t="shared" si="3"/>
        <v>Kuning (Sedang)</v>
      </c>
    </row>
    <row r="62" spans="1:10" ht="15" customHeight="1" x14ac:dyDescent="0.35">
      <c r="A62" s="6">
        <v>60</v>
      </c>
      <c r="B62" s="6">
        <v>9</v>
      </c>
      <c r="C62" s="6">
        <v>913</v>
      </c>
      <c r="D62" s="7">
        <v>472.29354536849303</v>
      </c>
      <c r="E62" s="7">
        <f t="shared" si="4"/>
        <v>8.216493163839683</v>
      </c>
      <c r="F62" s="7">
        <f t="shared" si="0"/>
        <v>28.84375</v>
      </c>
      <c r="G62" s="7">
        <f t="shared" si="1"/>
        <v>40.384313725490195</v>
      </c>
      <c r="H62" s="7">
        <f>E62*'AHP Bobot'!$B$29 + F62*'AHP Bobot'!$B$30 + G62*'AHP Bobot'!$B$31</f>
        <v>19.616583412030678</v>
      </c>
      <c r="I62" s="6">
        <f t="shared" si="2"/>
        <v>296</v>
      </c>
      <c r="J62" s="8" t="str">
        <f t="shared" si="3"/>
        <v>Hijau (Rendah)</v>
      </c>
    </row>
    <row r="63" spans="1:10" ht="15" customHeight="1" x14ac:dyDescent="0.35">
      <c r="A63" s="6">
        <v>61</v>
      </c>
      <c r="B63" s="6">
        <v>9</v>
      </c>
      <c r="C63" s="6">
        <v>1078</v>
      </c>
      <c r="D63" s="7">
        <v>408.41500858377299</v>
      </c>
      <c r="E63" s="7">
        <f t="shared" si="4"/>
        <v>4.6223496662618562</v>
      </c>
      <c r="F63" s="7">
        <f t="shared" si="0"/>
        <v>28.84375</v>
      </c>
      <c r="G63" s="7">
        <f t="shared" si="1"/>
        <v>47.501960784313724</v>
      </c>
      <c r="H63" s="7">
        <f>E63*'AHP Bobot'!$B$29 + F63*'AHP Bobot'!$B$30 + G63*'AHP Bobot'!$B$31</f>
        <v>18.845213058251677</v>
      </c>
      <c r="I63" s="6">
        <f t="shared" si="2"/>
        <v>305</v>
      </c>
      <c r="J63" s="8" t="str">
        <f t="shared" si="3"/>
        <v>Hijau Muda (Sangat Rendah)</v>
      </c>
    </row>
    <row r="64" spans="1:10" ht="15" customHeight="1" x14ac:dyDescent="0.35">
      <c r="A64" s="6">
        <v>62</v>
      </c>
      <c r="B64" s="6">
        <v>6</v>
      </c>
      <c r="C64" s="6">
        <v>1073</v>
      </c>
      <c r="D64" s="7">
        <v>461.17475356808802</v>
      </c>
      <c r="E64" s="7">
        <f t="shared" si="4"/>
        <v>7.5908912752894357</v>
      </c>
      <c r="F64" s="7">
        <f t="shared" si="0"/>
        <v>19.5625</v>
      </c>
      <c r="G64" s="7">
        <f t="shared" si="1"/>
        <v>47.286274509803917</v>
      </c>
      <c r="H64" s="7">
        <f>E64*'AHP Bobot'!$B$29 + F64*'AHP Bobot'!$B$30 + G64*'AHP Bobot'!$B$31</f>
        <v>17.650887515416088</v>
      </c>
      <c r="I64" s="6">
        <f t="shared" si="2"/>
        <v>319</v>
      </c>
      <c r="J64" s="8" t="str">
        <f t="shared" si="3"/>
        <v>Hijau Muda (Sangat Rendah)</v>
      </c>
    </row>
    <row r="65" spans="1:10" ht="15" customHeight="1" x14ac:dyDescent="0.35">
      <c r="A65" s="6">
        <v>63</v>
      </c>
      <c r="B65" s="6">
        <v>5</v>
      </c>
      <c r="C65" s="6">
        <v>1248</v>
      </c>
      <c r="D65" s="7">
        <v>482.75449540879998</v>
      </c>
      <c r="E65" s="7">
        <f t="shared" si="4"/>
        <v>8.8050814042461134</v>
      </c>
      <c r="F65" s="7">
        <f t="shared" si="0"/>
        <v>16.46875</v>
      </c>
      <c r="G65" s="7">
        <f t="shared" si="1"/>
        <v>54.835294117647052</v>
      </c>
      <c r="H65" s="7">
        <f>E65*'AHP Bobot'!$B$29 + F65*'AHP Bobot'!$B$30 + G65*'AHP Bobot'!$B$31</f>
        <v>18.622029273937756</v>
      </c>
      <c r="I65" s="6">
        <f t="shared" si="2"/>
        <v>309</v>
      </c>
      <c r="J65" s="8" t="str">
        <f t="shared" si="3"/>
        <v>Hijau Muda (Sangat Rendah)</v>
      </c>
    </row>
    <row r="66" spans="1:10" ht="15" customHeight="1" x14ac:dyDescent="0.35">
      <c r="A66" s="6">
        <v>64</v>
      </c>
      <c r="B66" s="6">
        <v>12</v>
      </c>
      <c r="C66" s="6">
        <v>1248</v>
      </c>
      <c r="D66" s="7">
        <v>450.751585962815</v>
      </c>
      <c r="E66" s="7">
        <f t="shared" ref="E66:E129" si="5">1+($D66-MIN($D$2:$D$379))/(MAX($D$2:$D$379)-MIN($D$2:$D$379))*99</f>
        <v>7.0044288740151313</v>
      </c>
      <c r="F66" s="7">
        <f t="shared" ref="F66:F129" si="6">1+($B66-MIN($B$2:$B$379))/(MAX($B$2:$B$379)-MIN($B$2:$B$379))*99</f>
        <v>38.125</v>
      </c>
      <c r="G66" s="7">
        <f t="shared" ref="G66:G129" si="7">1+($C66-MIN($C$2:$C$379))/(MAX($C$2:$C$379)-MIN($C$2:$C$379))*99</f>
        <v>54.835294117647052</v>
      </c>
      <c r="H66" s="7">
        <f>E66*'AHP Bobot'!$B$29 + F66*'AHP Bobot'!$B$30 + G66*'AHP Bobot'!$B$31</f>
        <v>24.089047715436642</v>
      </c>
      <c r="I66" s="6">
        <f t="shared" ref="I66:I129" si="8">RANK(H66,$H$2:$H$379)</f>
        <v>250</v>
      </c>
      <c r="J66" s="8" t="str">
        <f t="shared" ref="J66:J129" si="9">CHOOSE(MIN(5,ROUNDUP(I66*5/378,0)),"Merah (Sangat Besar)","Oranye (Besar)","Kuning (Sedang)","Hijau (Rendah)","Hijau Muda (Sangat Rendah)")</f>
        <v>Hijau (Rendah)</v>
      </c>
    </row>
    <row r="67" spans="1:10" ht="15" customHeight="1" x14ac:dyDescent="0.35">
      <c r="A67" s="6">
        <v>65</v>
      </c>
      <c r="B67" s="6">
        <v>2</v>
      </c>
      <c r="C67" s="6">
        <v>1229</v>
      </c>
      <c r="D67" s="7">
        <v>467.203379826716</v>
      </c>
      <c r="E67" s="7">
        <f t="shared" si="5"/>
        <v>7.9300935951515541</v>
      </c>
      <c r="F67" s="7">
        <f t="shared" si="6"/>
        <v>7.1875</v>
      </c>
      <c r="G67" s="7">
        <f t="shared" si="7"/>
        <v>54.015686274509804</v>
      </c>
      <c r="H67" s="7">
        <f>E67*'AHP Bobot'!$B$29 + F67*'AHP Bobot'!$B$30 + G67*'AHP Bobot'!$B$31</f>
        <v>15.25728044725248</v>
      </c>
      <c r="I67" s="6">
        <f t="shared" si="8"/>
        <v>334</v>
      </c>
      <c r="J67" s="8" t="str">
        <f t="shared" si="9"/>
        <v>Hijau Muda (Sangat Rendah)</v>
      </c>
    </row>
    <row r="68" spans="1:10" ht="15" customHeight="1" x14ac:dyDescent="0.35">
      <c r="A68" s="6">
        <v>66</v>
      </c>
      <c r="B68" s="6">
        <v>0</v>
      </c>
      <c r="C68" s="6">
        <v>111</v>
      </c>
      <c r="D68" s="7">
        <v>507.95566017209097</v>
      </c>
      <c r="E68" s="7">
        <f t="shared" si="5"/>
        <v>10.223031893165828</v>
      </c>
      <c r="F68" s="7">
        <f t="shared" si="6"/>
        <v>1</v>
      </c>
      <c r="G68" s="7">
        <f t="shared" si="7"/>
        <v>5.7882352941176469</v>
      </c>
      <c r="H68" s="7">
        <f>E68*'AHP Bobot'!$B$29 + F68*'AHP Bobot'!$B$30 + G68*'AHP Bobot'!$B$31</f>
        <v>6.7550752063200434</v>
      </c>
      <c r="I68" s="6">
        <f t="shared" si="8"/>
        <v>375</v>
      </c>
      <c r="J68" s="8" t="str">
        <f t="shared" si="9"/>
        <v>Hijau Muda (Sangat Rendah)</v>
      </c>
    </row>
    <row r="69" spans="1:10" ht="15" customHeight="1" x14ac:dyDescent="0.35">
      <c r="A69" s="6">
        <v>67</v>
      </c>
      <c r="B69" s="6">
        <v>3</v>
      </c>
      <c r="C69" s="6">
        <v>658</v>
      </c>
      <c r="D69" s="7">
        <v>684.96136789504101</v>
      </c>
      <c r="E69" s="7">
        <f t="shared" si="5"/>
        <v>20.182306877667031</v>
      </c>
      <c r="F69" s="7">
        <f t="shared" si="6"/>
        <v>10.28125</v>
      </c>
      <c r="G69" s="7">
        <f t="shared" si="7"/>
        <v>29.384313725490195</v>
      </c>
      <c r="H69" s="7">
        <f>E69*'AHP Bobot'!$B$29 + F69*'AHP Bobot'!$B$30 + G69*'AHP Bobot'!$B$31</f>
        <v>18.746246358804868</v>
      </c>
      <c r="I69" s="6">
        <f t="shared" si="8"/>
        <v>306</v>
      </c>
      <c r="J69" s="8" t="str">
        <f t="shared" si="9"/>
        <v>Hijau Muda (Sangat Rendah)</v>
      </c>
    </row>
    <row r="70" spans="1:10" ht="15" customHeight="1" x14ac:dyDescent="0.35">
      <c r="A70" s="6">
        <v>68</v>
      </c>
      <c r="B70" s="6">
        <v>13</v>
      </c>
      <c r="C70" s="6">
        <v>1416</v>
      </c>
      <c r="D70" s="7">
        <v>651.45640133081895</v>
      </c>
      <c r="E70" s="7">
        <f t="shared" si="5"/>
        <v>18.297140689230378</v>
      </c>
      <c r="F70" s="7">
        <f t="shared" si="6"/>
        <v>41.21875</v>
      </c>
      <c r="G70" s="7">
        <f t="shared" si="7"/>
        <v>62.082352941176474</v>
      </c>
      <c r="H70" s="7">
        <f>E70*'AHP Bobot'!$B$29 + F70*'AHP Bobot'!$B$30 + G70*'AHP Bobot'!$B$31</f>
        <v>32.281950369770669</v>
      </c>
      <c r="I70" s="6">
        <f t="shared" si="8"/>
        <v>173</v>
      </c>
      <c r="J70" s="8" t="str">
        <f t="shared" si="9"/>
        <v>Kuning (Sedang)</v>
      </c>
    </row>
    <row r="71" spans="1:10" ht="15" customHeight="1" x14ac:dyDescent="0.35">
      <c r="A71" s="6">
        <v>69</v>
      </c>
      <c r="B71" s="6">
        <v>6</v>
      </c>
      <c r="C71" s="6">
        <v>1416</v>
      </c>
      <c r="D71" s="7">
        <v>581.88556851685496</v>
      </c>
      <c r="E71" s="7">
        <f t="shared" si="5"/>
        <v>14.382718584947066</v>
      </c>
      <c r="F71" s="7">
        <f t="shared" si="6"/>
        <v>19.5625</v>
      </c>
      <c r="G71" s="7">
        <f t="shared" si="7"/>
        <v>62.082352941176474</v>
      </c>
      <c r="H71" s="7">
        <f>E71*'AHP Bobot'!$B$29 + F71*'AHP Bobot'!$B$30 + G71*'AHP Bobot'!$B$31</f>
        <v>23.734729365514081</v>
      </c>
      <c r="I71" s="6">
        <f t="shared" si="8"/>
        <v>253</v>
      </c>
      <c r="J71" s="8" t="str">
        <f t="shared" si="9"/>
        <v>Hijau (Rendah)</v>
      </c>
    </row>
    <row r="72" spans="1:10" ht="15" customHeight="1" x14ac:dyDescent="0.35">
      <c r="A72" s="6">
        <v>70</v>
      </c>
      <c r="B72" s="6">
        <v>12</v>
      </c>
      <c r="C72" s="6">
        <v>1416</v>
      </c>
      <c r="D72" s="7">
        <v>434.62506709132703</v>
      </c>
      <c r="E72" s="7">
        <f t="shared" si="5"/>
        <v>6.0970658400768043</v>
      </c>
      <c r="F72" s="7">
        <f t="shared" si="6"/>
        <v>38.125</v>
      </c>
      <c r="G72" s="7">
        <f t="shared" si="7"/>
        <v>62.082352941176474</v>
      </c>
      <c r="H72" s="7">
        <f>E72*'AHP Bobot'!$B$29 + F72*'AHP Bobot'!$B$30 + G72*'AHP Bobot'!$B$31</f>
        <v>24.786942496525565</v>
      </c>
      <c r="I72" s="6">
        <f t="shared" si="8"/>
        <v>240</v>
      </c>
      <c r="J72" s="8" t="str">
        <f t="shared" si="9"/>
        <v>Hijau (Rendah)</v>
      </c>
    </row>
    <row r="73" spans="1:10" ht="15" customHeight="1" x14ac:dyDescent="0.35">
      <c r="A73" s="6">
        <v>71</v>
      </c>
      <c r="B73" s="6">
        <v>5</v>
      </c>
      <c r="C73" s="6">
        <v>1416</v>
      </c>
      <c r="D73" s="7">
        <v>464.51085226459901</v>
      </c>
      <c r="E73" s="7">
        <f t="shared" si="5"/>
        <v>7.7785977889460067</v>
      </c>
      <c r="F73" s="7">
        <f t="shared" si="6"/>
        <v>16.46875</v>
      </c>
      <c r="G73" s="7">
        <f t="shared" si="7"/>
        <v>62.082352941176474</v>
      </c>
      <c r="H73" s="7">
        <f>E73*'AHP Bobot'!$B$29 + F73*'AHP Bobot'!$B$30 + G73*'AHP Bobot'!$B$31</f>
        <v>19.255722702734289</v>
      </c>
      <c r="I73" s="6">
        <f t="shared" si="8"/>
        <v>299</v>
      </c>
      <c r="J73" s="8" t="str">
        <f t="shared" si="9"/>
        <v>Hijau (Rendah)</v>
      </c>
    </row>
    <row r="74" spans="1:10" ht="15" customHeight="1" x14ac:dyDescent="0.35">
      <c r="A74" s="6">
        <v>72</v>
      </c>
      <c r="B74" s="6">
        <v>17</v>
      </c>
      <c r="C74" s="6">
        <v>1414</v>
      </c>
      <c r="D74" s="7">
        <v>536.08537664333301</v>
      </c>
      <c r="E74" s="7">
        <f t="shared" si="5"/>
        <v>11.805758151980299</v>
      </c>
      <c r="F74" s="7">
        <f t="shared" si="6"/>
        <v>53.59375</v>
      </c>
      <c r="G74" s="7">
        <f t="shared" si="7"/>
        <v>61.996078431372545</v>
      </c>
      <c r="H74" s="7">
        <f>E74*'AHP Bobot'!$B$29 + F74*'AHP Bobot'!$B$30 + G74*'AHP Bobot'!$B$31</f>
        <v>32.447789425289216</v>
      </c>
      <c r="I74" s="6">
        <f t="shared" si="8"/>
        <v>172</v>
      </c>
      <c r="J74" s="8" t="str">
        <f t="shared" si="9"/>
        <v>Kuning (Sedang)</v>
      </c>
    </row>
    <row r="75" spans="1:10" ht="15" customHeight="1" x14ac:dyDescent="0.35">
      <c r="A75" s="6">
        <v>73</v>
      </c>
      <c r="B75" s="6">
        <v>9</v>
      </c>
      <c r="C75" s="6">
        <v>1393</v>
      </c>
      <c r="D75" s="7">
        <v>536.25466204084205</v>
      </c>
      <c r="E75" s="7">
        <f t="shared" si="5"/>
        <v>11.815283041580424</v>
      </c>
      <c r="F75" s="7">
        <f t="shared" si="6"/>
        <v>28.84375</v>
      </c>
      <c r="G75" s="7">
        <f t="shared" si="7"/>
        <v>61.090196078431376</v>
      </c>
      <c r="H75" s="7">
        <f>E75*'AHP Bobot'!$B$29 + F75*'AHP Bobot'!$B$30 + G75*'AHP Bobot'!$B$31</f>
        <v>24.947414099469334</v>
      </c>
      <c r="I75" s="6">
        <f t="shared" si="8"/>
        <v>238</v>
      </c>
      <c r="J75" s="8" t="str">
        <f t="shared" si="9"/>
        <v>Hijau (Rendah)</v>
      </c>
    </row>
    <row r="76" spans="1:10" ht="15" customHeight="1" x14ac:dyDescent="0.35">
      <c r="A76" s="6">
        <v>74</v>
      </c>
      <c r="B76" s="6">
        <v>8</v>
      </c>
      <c r="C76" s="6">
        <v>1393</v>
      </c>
      <c r="D76" s="7">
        <v>506.85541338013797</v>
      </c>
      <c r="E76" s="7">
        <f t="shared" si="5"/>
        <v>10.161126203836158</v>
      </c>
      <c r="F76" s="7">
        <f t="shared" si="6"/>
        <v>25.75</v>
      </c>
      <c r="G76" s="7">
        <f t="shared" si="7"/>
        <v>61.090196078431376</v>
      </c>
      <c r="H76" s="7">
        <f>E76*'AHP Bobot'!$B$29 + F76*'AHP Bobot'!$B$30 + G76*'AHP Bobot'!$B$31</f>
        <v>23.136245154451323</v>
      </c>
      <c r="I76" s="6">
        <f t="shared" si="8"/>
        <v>261</v>
      </c>
      <c r="J76" s="8" t="str">
        <f t="shared" si="9"/>
        <v>Hijau (Rendah)</v>
      </c>
    </row>
    <row r="77" spans="1:10" ht="15" customHeight="1" x14ac:dyDescent="0.35">
      <c r="A77" s="6">
        <v>75</v>
      </c>
      <c r="B77" s="6">
        <v>7</v>
      </c>
      <c r="C77" s="6">
        <v>1106</v>
      </c>
      <c r="D77" s="7">
        <v>521.70933365548501</v>
      </c>
      <c r="E77" s="7">
        <f t="shared" si="5"/>
        <v>10.996886126626819</v>
      </c>
      <c r="F77" s="7">
        <f t="shared" si="6"/>
        <v>22.65625</v>
      </c>
      <c r="G77" s="7">
        <f t="shared" si="7"/>
        <v>48.709803921568628</v>
      </c>
      <c r="H77" s="7">
        <f>E77*'AHP Bobot'!$B$29 + F77*'AHP Bobot'!$B$30 + G77*'AHP Bobot'!$B$31</f>
        <v>20.639375488301813</v>
      </c>
      <c r="I77" s="6">
        <f t="shared" si="8"/>
        <v>285</v>
      </c>
      <c r="J77" s="8" t="str">
        <f t="shared" si="9"/>
        <v>Hijau (Rendah)</v>
      </c>
    </row>
    <row r="78" spans="1:10" ht="15" customHeight="1" x14ac:dyDescent="0.35">
      <c r="A78" s="6">
        <v>76</v>
      </c>
      <c r="B78" s="6">
        <v>2</v>
      </c>
      <c r="C78" s="6">
        <v>913</v>
      </c>
      <c r="D78" s="7">
        <v>527.36354346050302</v>
      </c>
      <c r="E78" s="7">
        <f t="shared" si="5"/>
        <v>11.315021801417469</v>
      </c>
      <c r="F78" s="7">
        <f t="shared" si="6"/>
        <v>7.1875</v>
      </c>
      <c r="G78" s="7">
        <f t="shared" si="7"/>
        <v>40.384313725490195</v>
      </c>
      <c r="H78" s="7">
        <f>E78*'AHP Bobot'!$B$29 + F78*'AHP Bobot'!$B$30 + G78*'AHP Bobot'!$B$31</f>
        <v>14.849069625790133</v>
      </c>
      <c r="I78" s="6">
        <f t="shared" si="8"/>
        <v>337</v>
      </c>
      <c r="J78" s="8" t="str">
        <f t="shared" si="9"/>
        <v>Hijau Muda (Sangat Rendah)</v>
      </c>
    </row>
    <row r="79" spans="1:10" ht="15" customHeight="1" x14ac:dyDescent="0.35">
      <c r="A79" s="6">
        <v>77</v>
      </c>
      <c r="B79" s="6">
        <v>10</v>
      </c>
      <c r="C79" s="6">
        <v>913</v>
      </c>
      <c r="D79" s="7">
        <v>538.29802749200098</v>
      </c>
      <c r="E79" s="7">
        <f t="shared" si="5"/>
        <v>11.930253562495905</v>
      </c>
      <c r="F79" s="7">
        <f t="shared" si="6"/>
        <v>31.9375</v>
      </c>
      <c r="G79" s="7">
        <f t="shared" si="7"/>
        <v>40.384313725490195</v>
      </c>
      <c r="H79" s="7">
        <f>E79*'AHP Bobot'!$B$29 + F79*'AHP Bobot'!$B$30 + G79*'AHP Bobot'!$B$31</f>
        <v>22.537798432085655</v>
      </c>
      <c r="I79" s="6">
        <f t="shared" si="8"/>
        <v>268</v>
      </c>
      <c r="J79" s="8" t="str">
        <f t="shared" si="9"/>
        <v>Hijau (Rendah)</v>
      </c>
    </row>
    <row r="80" spans="1:10" ht="15" customHeight="1" x14ac:dyDescent="0.35">
      <c r="A80" s="6">
        <v>78</v>
      </c>
      <c r="B80" s="6">
        <v>5</v>
      </c>
      <c r="C80" s="6">
        <v>913</v>
      </c>
      <c r="D80" s="7">
        <v>516.08209879686899</v>
      </c>
      <c r="E80" s="7">
        <f t="shared" si="5"/>
        <v>10.680268204638413</v>
      </c>
      <c r="F80" s="7">
        <f t="shared" si="6"/>
        <v>16.46875</v>
      </c>
      <c r="G80" s="7">
        <f t="shared" si="7"/>
        <v>40.384313725490195</v>
      </c>
      <c r="H80" s="7">
        <f>E80*'AHP Bobot'!$B$29 + F80*'AHP Bobot'!$B$30 + G80*'AHP Bobot'!$B$31</f>
        <v>17.265890739214409</v>
      </c>
      <c r="I80" s="6">
        <f t="shared" si="8"/>
        <v>321</v>
      </c>
      <c r="J80" s="8" t="str">
        <f t="shared" si="9"/>
        <v>Hijau Muda (Sangat Rendah)</v>
      </c>
    </row>
    <row r="81" spans="1:10" ht="15" customHeight="1" x14ac:dyDescent="0.35">
      <c r="A81" s="6">
        <v>79</v>
      </c>
      <c r="B81" s="6">
        <v>6</v>
      </c>
      <c r="C81" s="6">
        <v>913</v>
      </c>
      <c r="D81" s="7">
        <v>458.40704622059002</v>
      </c>
      <c r="E81" s="7">
        <f t="shared" si="5"/>
        <v>7.4351654577157955</v>
      </c>
      <c r="F81" s="7">
        <f t="shared" si="6"/>
        <v>19.5625</v>
      </c>
      <c r="G81" s="7">
        <f t="shared" si="7"/>
        <v>40.384313725490195</v>
      </c>
      <c r="H81" s="7">
        <f>E81*'AHP Bobot'!$B$29 + F81*'AHP Bobot'!$B$30 + G81*'AHP Bobot'!$B$31</f>
        <v>16.436549648340531</v>
      </c>
      <c r="I81" s="6">
        <f t="shared" si="8"/>
        <v>328</v>
      </c>
      <c r="J81" s="8" t="str">
        <f t="shared" si="9"/>
        <v>Hijau Muda (Sangat Rendah)</v>
      </c>
    </row>
    <row r="82" spans="1:10" ht="15" customHeight="1" x14ac:dyDescent="0.35">
      <c r="A82" s="6">
        <v>80</v>
      </c>
      <c r="B82" s="6">
        <v>8</v>
      </c>
      <c r="C82" s="6">
        <v>919</v>
      </c>
      <c r="D82" s="7">
        <v>439.76392046408199</v>
      </c>
      <c r="E82" s="7">
        <f t="shared" si="5"/>
        <v>6.3862048430088683</v>
      </c>
      <c r="F82" s="7">
        <f t="shared" si="6"/>
        <v>25.75</v>
      </c>
      <c r="G82" s="7">
        <f t="shared" si="7"/>
        <v>40.643137254901958</v>
      </c>
      <c r="H82" s="7">
        <f>E82*'AHP Bobot'!$B$29 + F82*'AHP Bobot'!$B$30 + G82*'AHP Bobot'!$B$31</f>
        <v>17.752876749343702</v>
      </c>
      <c r="I82" s="6">
        <f t="shared" si="8"/>
        <v>317</v>
      </c>
      <c r="J82" s="8" t="str">
        <f t="shared" si="9"/>
        <v>Hijau Muda (Sangat Rendah)</v>
      </c>
    </row>
    <row r="83" spans="1:10" ht="15" customHeight="1" x14ac:dyDescent="0.35">
      <c r="A83" s="6">
        <v>81</v>
      </c>
      <c r="B83" s="6">
        <v>9</v>
      </c>
      <c r="C83" s="6">
        <v>1171</v>
      </c>
      <c r="D83" s="7">
        <v>466.94610968542298</v>
      </c>
      <c r="E83" s="7">
        <f t="shared" si="5"/>
        <v>7.9156182196656451</v>
      </c>
      <c r="F83" s="7">
        <f t="shared" si="6"/>
        <v>28.84375</v>
      </c>
      <c r="G83" s="7">
        <f t="shared" si="7"/>
        <v>51.51372549019608</v>
      </c>
      <c r="H83" s="7">
        <f>E83*'AHP Bobot'!$B$29 + F83*'AHP Bobot'!$B$30 + G83*'AHP Bobot'!$B$31</f>
        <v>21.277205985833149</v>
      </c>
      <c r="I83" s="6">
        <f t="shared" si="8"/>
        <v>276</v>
      </c>
      <c r="J83" s="8" t="str">
        <f t="shared" si="9"/>
        <v>Hijau (Rendah)</v>
      </c>
    </row>
    <row r="84" spans="1:10" ht="15" customHeight="1" x14ac:dyDescent="0.35">
      <c r="A84" s="6">
        <v>82</v>
      </c>
      <c r="B84" s="6">
        <v>11</v>
      </c>
      <c r="C84" s="6">
        <v>1248</v>
      </c>
      <c r="D84" s="7">
        <v>410.69199760592699</v>
      </c>
      <c r="E84" s="7">
        <f t="shared" si="5"/>
        <v>4.7504650818608631</v>
      </c>
      <c r="F84" s="7">
        <f t="shared" si="6"/>
        <v>35.03125</v>
      </c>
      <c r="G84" s="7">
        <f t="shared" si="7"/>
        <v>54.835294117647052</v>
      </c>
      <c r="H84" s="7">
        <f>E84*'AHP Bobot'!$B$29 + F84*'AHP Bobot'!$B$30 + G84*'AHP Bobot'!$B$31</f>
        <v>21.954606191093756</v>
      </c>
      <c r="I84" s="6">
        <f t="shared" si="8"/>
        <v>273</v>
      </c>
      <c r="J84" s="8" t="str">
        <f t="shared" si="9"/>
        <v>Hijau (Rendah)</v>
      </c>
    </row>
    <row r="85" spans="1:10" ht="15" customHeight="1" x14ac:dyDescent="0.35">
      <c r="A85" s="6">
        <v>83</v>
      </c>
      <c r="B85" s="6">
        <v>10</v>
      </c>
      <c r="C85" s="6">
        <v>1209</v>
      </c>
      <c r="D85" s="7">
        <v>344.03516494108999</v>
      </c>
      <c r="E85" s="7">
        <f t="shared" si="5"/>
        <v>1</v>
      </c>
      <c r="F85" s="7">
        <f t="shared" si="6"/>
        <v>31.9375</v>
      </c>
      <c r="G85" s="7">
        <f t="shared" si="7"/>
        <v>53.152941176470591</v>
      </c>
      <c r="H85" s="7">
        <f>E85*'AHP Bobot'!$B$29 + F85*'AHP Bobot'!$B$30 + G85*'AHP Bobot'!$B$31</f>
        <v>18.738071895424838</v>
      </c>
      <c r="I85" s="6">
        <f t="shared" si="8"/>
        <v>307</v>
      </c>
      <c r="J85" s="8" t="str">
        <f t="shared" si="9"/>
        <v>Hijau Muda (Sangat Rendah)</v>
      </c>
    </row>
    <row r="86" spans="1:10" ht="15" customHeight="1" x14ac:dyDescent="0.35">
      <c r="A86" s="6">
        <v>84</v>
      </c>
      <c r="B86" s="6">
        <v>1</v>
      </c>
      <c r="C86" s="6">
        <v>212</v>
      </c>
      <c r="D86" s="7">
        <v>438.58501052199898</v>
      </c>
      <c r="E86" s="7">
        <f t="shared" si="5"/>
        <v>6.3198731498323735</v>
      </c>
      <c r="F86" s="7">
        <f t="shared" si="6"/>
        <v>4.09375</v>
      </c>
      <c r="G86" s="7">
        <f t="shared" si="7"/>
        <v>10.145098039215686</v>
      </c>
      <c r="H86" s="7">
        <f>E86*'AHP Bobot'!$B$29 + F86*'AHP Bobot'!$B$30 + G86*'AHP Bobot'!$B$31</f>
        <v>6.2846374443194399</v>
      </c>
      <c r="I86" s="6">
        <f t="shared" si="8"/>
        <v>377</v>
      </c>
      <c r="J86" s="8" t="str">
        <f t="shared" si="9"/>
        <v>Hijau Muda (Sangat Rendah)</v>
      </c>
    </row>
    <row r="87" spans="1:10" ht="15" customHeight="1" x14ac:dyDescent="0.35">
      <c r="A87" s="6">
        <v>85</v>
      </c>
      <c r="B87" s="6">
        <v>0</v>
      </c>
      <c r="C87" s="6">
        <v>1</v>
      </c>
      <c r="D87" s="7">
        <v>680.02717230730002</v>
      </c>
      <c r="E87" s="7">
        <f t="shared" si="5"/>
        <v>19.90468300147802</v>
      </c>
      <c r="F87" s="7">
        <f t="shared" si="6"/>
        <v>1</v>
      </c>
      <c r="G87" s="7">
        <f t="shared" si="7"/>
        <v>1.0431372549019609</v>
      </c>
      <c r="H87" s="7">
        <f>E87*'AHP Bobot'!$B$29 + F87*'AHP Bobot'!$B$30 + G87*'AHP Bobot'!$B$31</f>
        <v>11.195952639947206</v>
      </c>
      <c r="I87" s="6">
        <f t="shared" si="8"/>
        <v>353</v>
      </c>
      <c r="J87" s="8" t="str">
        <f t="shared" si="9"/>
        <v>Hijau Muda (Sangat Rendah)</v>
      </c>
    </row>
    <row r="88" spans="1:10" ht="15" customHeight="1" x14ac:dyDescent="0.35">
      <c r="A88" s="6">
        <v>86</v>
      </c>
      <c r="B88" s="6">
        <v>6</v>
      </c>
      <c r="C88" s="6">
        <v>1365</v>
      </c>
      <c r="D88" s="7">
        <v>661.42433600216305</v>
      </c>
      <c r="E88" s="7">
        <f t="shared" si="5"/>
        <v>18.857989283869163</v>
      </c>
      <c r="F88" s="7">
        <f t="shared" si="6"/>
        <v>19.5625</v>
      </c>
      <c r="G88" s="7">
        <f t="shared" si="7"/>
        <v>59.882352941176471</v>
      </c>
      <c r="H88" s="7">
        <f>E88*'AHP Bobot'!$B$29 + F88*'AHP Bobot'!$B$30 + G88*'AHP Bobot'!$B$31</f>
        <v>25.78640845071957</v>
      </c>
      <c r="I88" s="6">
        <f t="shared" si="8"/>
        <v>234</v>
      </c>
      <c r="J88" s="8" t="str">
        <f t="shared" si="9"/>
        <v>Hijau (Rendah)</v>
      </c>
    </row>
    <row r="89" spans="1:10" ht="15" customHeight="1" x14ac:dyDescent="0.35">
      <c r="A89" s="6">
        <v>87</v>
      </c>
      <c r="B89" s="6">
        <v>20</v>
      </c>
      <c r="C89" s="6">
        <v>1416</v>
      </c>
      <c r="D89" s="7">
        <v>629.60025255284495</v>
      </c>
      <c r="E89" s="7">
        <f t="shared" si="5"/>
        <v>17.067398447682365</v>
      </c>
      <c r="F89" s="7">
        <f t="shared" si="6"/>
        <v>62.875</v>
      </c>
      <c r="G89" s="7">
        <f t="shared" si="7"/>
        <v>62.082352941176474</v>
      </c>
      <c r="H89" s="7">
        <f>E89*'AHP Bobot'!$B$29 + F89*'AHP Bobot'!$B$30 + G89*'AHP Bobot'!$B$31</f>
        <v>38.056667213611675</v>
      </c>
      <c r="I89" s="6">
        <f t="shared" si="8"/>
        <v>122</v>
      </c>
      <c r="J89" s="8" t="str">
        <f t="shared" si="9"/>
        <v>Oranye (Besar)</v>
      </c>
    </row>
    <row r="90" spans="1:10" ht="15" customHeight="1" x14ac:dyDescent="0.35">
      <c r="A90" s="6">
        <v>88</v>
      </c>
      <c r="B90" s="6">
        <v>17</v>
      </c>
      <c r="C90" s="6">
        <v>1416</v>
      </c>
      <c r="D90" s="7">
        <v>554.44550006952898</v>
      </c>
      <c r="E90" s="7">
        <f t="shared" si="5"/>
        <v>12.838795562486128</v>
      </c>
      <c r="F90" s="7">
        <f t="shared" si="6"/>
        <v>53.59375</v>
      </c>
      <c r="G90" s="7">
        <f t="shared" si="7"/>
        <v>62.082352941176474</v>
      </c>
      <c r="H90" s="7">
        <f>E90*'AHP Bobot'!$B$29 + F90*'AHP Bobot'!$B$30 + G90*'AHP Bobot'!$B$31</f>
        <v>33.018686437824101</v>
      </c>
      <c r="I90" s="6">
        <f t="shared" si="8"/>
        <v>166</v>
      </c>
      <c r="J90" s="8" t="str">
        <f t="shared" si="9"/>
        <v>Kuning (Sedang)</v>
      </c>
    </row>
    <row r="91" spans="1:10" ht="15" customHeight="1" x14ac:dyDescent="0.35">
      <c r="A91" s="6">
        <v>89</v>
      </c>
      <c r="B91" s="6">
        <v>19</v>
      </c>
      <c r="C91" s="6">
        <v>1416</v>
      </c>
      <c r="D91" s="7">
        <v>481.99022825979898</v>
      </c>
      <c r="E91" s="7">
        <f t="shared" si="5"/>
        <v>8.7620797022307446</v>
      </c>
      <c r="F91" s="7">
        <f t="shared" si="6"/>
        <v>59.78125</v>
      </c>
      <c r="G91" s="7">
        <f t="shared" si="7"/>
        <v>62.082352941176474</v>
      </c>
      <c r="H91" s="7">
        <f>E91*'AHP Bobot'!$B$29 + F91*'AHP Bobot'!$B$30 + G91*'AHP Bobot'!$B$31</f>
        <v>32.660781136517627</v>
      </c>
      <c r="I91" s="6">
        <f t="shared" si="8"/>
        <v>169</v>
      </c>
      <c r="J91" s="8" t="str">
        <f t="shared" si="9"/>
        <v>Kuning (Sedang)</v>
      </c>
    </row>
    <row r="92" spans="1:10" ht="15" customHeight="1" x14ac:dyDescent="0.35">
      <c r="A92" s="6">
        <v>90</v>
      </c>
      <c r="B92" s="6">
        <v>12</v>
      </c>
      <c r="C92" s="6">
        <v>1416</v>
      </c>
      <c r="D92" s="7">
        <v>554.78954289114802</v>
      </c>
      <c r="E92" s="7">
        <f t="shared" si="5"/>
        <v>12.858153226772925</v>
      </c>
      <c r="F92" s="7">
        <f t="shared" si="6"/>
        <v>38.125</v>
      </c>
      <c r="G92" s="7">
        <f t="shared" si="7"/>
        <v>62.082352941176474</v>
      </c>
      <c r="H92" s="7">
        <f>E92*'AHP Bobot'!$B$29 + F92*'AHP Bobot'!$B$30 + G92*'AHP Bobot'!$B$31</f>
        <v>28.430905178965681</v>
      </c>
      <c r="I92" s="6">
        <f t="shared" si="8"/>
        <v>210</v>
      </c>
      <c r="J92" s="8" t="str">
        <f t="shared" si="9"/>
        <v>Kuning (Sedang)</v>
      </c>
    </row>
    <row r="93" spans="1:10" ht="15" customHeight="1" x14ac:dyDescent="0.35">
      <c r="A93" s="6">
        <v>91</v>
      </c>
      <c r="B93" s="6">
        <v>17</v>
      </c>
      <c r="C93" s="6">
        <v>1402</v>
      </c>
      <c r="D93" s="7">
        <v>572.01530139925603</v>
      </c>
      <c r="E93" s="7">
        <f t="shared" si="5"/>
        <v>13.827365282168218</v>
      </c>
      <c r="F93" s="7">
        <f t="shared" si="6"/>
        <v>53.59375</v>
      </c>
      <c r="G93" s="7">
        <f t="shared" si="7"/>
        <v>61.478431372549018</v>
      </c>
      <c r="H93" s="7">
        <f>E93*'AHP Bobot'!$B$29 + F93*'AHP Bobot'!$B$30 + G93*'AHP Bobot'!$B$31</f>
        <v>33.452576325648117</v>
      </c>
      <c r="I93" s="6">
        <f t="shared" si="8"/>
        <v>160</v>
      </c>
      <c r="J93" s="8" t="str">
        <f t="shared" si="9"/>
        <v>Kuning (Sedang)</v>
      </c>
    </row>
    <row r="94" spans="1:10" ht="15" customHeight="1" x14ac:dyDescent="0.35">
      <c r="A94" s="6">
        <v>92</v>
      </c>
      <c r="B94" s="6">
        <v>12</v>
      </c>
      <c r="C94" s="6">
        <v>1393</v>
      </c>
      <c r="D94" s="7">
        <v>550.97357679233403</v>
      </c>
      <c r="E94" s="7">
        <f t="shared" si="5"/>
        <v>12.643446841320614</v>
      </c>
      <c r="F94" s="7">
        <f t="shared" si="6"/>
        <v>38.125</v>
      </c>
      <c r="G94" s="7">
        <f t="shared" si="7"/>
        <v>61.090196078431376</v>
      </c>
      <c r="H94" s="7">
        <f>E94*'AHP Bobot'!$B$29 + F94*'AHP Bobot'!$B$30 + G94*'AHP Bobot'!$B$31</f>
        <v>28.152690692835801</v>
      </c>
      <c r="I94" s="6">
        <f t="shared" si="8"/>
        <v>213</v>
      </c>
      <c r="J94" s="8" t="str">
        <f t="shared" si="9"/>
        <v>Kuning (Sedang)</v>
      </c>
    </row>
    <row r="95" spans="1:10" ht="15" customHeight="1" x14ac:dyDescent="0.35">
      <c r="A95" s="6">
        <v>93</v>
      </c>
      <c r="B95" s="6">
        <v>11</v>
      </c>
      <c r="C95" s="6">
        <v>1361</v>
      </c>
      <c r="D95" s="7">
        <v>534.23981722910003</v>
      </c>
      <c r="E95" s="7">
        <f t="shared" si="5"/>
        <v>11.701917242311156</v>
      </c>
      <c r="F95" s="7">
        <f t="shared" si="6"/>
        <v>35.03125</v>
      </c>
      <c r="G95" s="7">
        <f t="shared" si="7"/>
        <v>59.709803921568628</v>
      </c>
      <c r="H95" s="7">
        <f>E95*'AHP Bobot'!$B$29 + F95*'AHP Bobot'!$B$30 + G95*'AHP Bobot'!$B$31</f>
        <v>26.499518521069632</v>
      </c>
      <c r="I95" s="6">
        <f t="shared" si="8"/>
        <v>229</v>
      </c>
      <c r="J95" s="8" t="str">
        <f t="shared" si="9"/>
        <v>Hijau (Rendah)</v>
      </c>
    </row>
    <row r="96" spans="1:10" ht="15" customHeight="1" x14ac:dyDescent="0.35">
      <c r="A96" s="6">
        <v>94</v>
      </c>
      <c r="B96" s="6">
        <v>2</v>
      </c>
      <c r="C96" s="6">
        <v>913</v>
      </c>
      <c r="D96" s="7">
        <v>546.196794554809</v>
      </c>
      <c r="E96" s="7">
        <f t="shared" si="5"/>
        <v>12.37467987071504</v>
      </c>
      <c r="F96" s="7">
        <f t="shared" si="6"/>
        <v>7.1875</v>
      </c>
      <c r="G96" s="7">
        <f t="shared" si="7"/>
        <v>40.384313725490195</v>
      </c>
      <c r="H96" s="7">
        <f>E96*'AHP Bobot'!$B$29 + F96*'AHP Bobot'!$B$30 + G96*'AHP Bobot'!$B$31</f>
        <v>15.420184039762201</v>
      </c>
      <c r="I96" s="6">
        <f t="shared" si="8"/>
        <v>332</v>
      </c>
      <c r="J96" s="8" t="str">
        <f t="shared" si="9"/>
        <v>Hijau Muda (Sangat Rendah)</v>
      </c>
    </row>
    <row r="97" spans="1:10" ht="15" customHeight="1" x14ac:dyDescent="0.35">
      <c r="A97" s="6">
        <v>95</v>
      </c>
      <c r="B97" s="6">
        <v>5</v>
      </c>
      <c r="C97" s="6">
        <v>913</v>
      </c>
      <c r="D97" s="7">
        <v>546.50051029101701</v>
      </c>
      <c r="E97" s="7">
        <f t="shared" si="5"/>
        <v>12.391768520414123</v>
      </c>
      <c r="F97" s="7">
        <f t="shared" si="6"/>
        <v>16.46875</v>
      </c>
      <c r="G97" s="7">
        <f t="shared" si="7"/>
        <v>40.384313725490195</v>
      </c>
      <c r="H97" s="7">
        <f>E97*'AHP Bobot'!$B$29 + F97*'AHP Bobot'!$B$30 + G97*'AHP Bobot'!$B$31</f>
        <v>18.188322727587032</v>
      </c>
      <c r="I97" s="6">
        <f t="shared" si="8"/>
        <v>312</v>
      </c>
      <c r="J97" s="8" t="str">
        <f t="shared" si="9"/>
        <v>Hijau Muda (Sangat Rendah)</v>
      </c>
    </row>
    <row r="98" spans="1:10" ht="15" customHeight="1" x14ac:dyDescent="0.35">
      <c r="A98" s="6">
        <v>96</v>
      </c>
      <c r="B98" s="6">
        <v>6</v>
      </c>
      <c r="C98" s="6">
        <v>913</v>
      </c>
      <c r="D98" s="7">
        <v>507.37395892295098</v>
      </c>
      <c r="E98" s="7">
        <f t="shared" si="5"/>
        <v>10.190302311879778</v>
      </c>
      <c r="F98" s="7">
        <f t="shared" si="6"/>
        <v>19.5625</v>
      </c>
      <c r="G98" s="7">
        <f t="shared" si="7"/>
        <v>40.384313725490195</v>
      </c>
      <c r="H98" s="7">
        <f>E98*'AHP Bobot'!$B$29 + F98*'AHP Bobot'!$B$30 + G98*'AHP Bobot'!$B$31</f>
        <v>17.921461069740598</v>
      </c>
      <c r="I98" s="6">
        <f t="shared" si="8"/>
        <v>314</v>
      </c>
      <c r="J98" s="8" t="str">
        <f t="shared" si="9"/>
        <v>Hijau Muda (Sangat Rendah)</v>
      </c>
    </row>
    <row r="99" spans="1:10" ht="15" customHeight="1" x14ac:dyDescent="0.35">
      <c r="A99" s="6">
        <v>97</v>
      </c>
      <c r="B99" s="6">
        <v>3</v>
      </c>
      <c r="C99" s="6">
        <v>913</v>
      </c>
      <c r="D99" s="7">
        <v>471.84081630534098</v>
      </c>
      <c r="E99" s="7">
        <f t="shared" si="5"/>
        <v>8.19102023818429</v>
      </c>
      <c r="F99" s="7">
        <f t="shared" si="6"/>
        <v>10.28125</v>
      </c>
      <c r="G99" s="7">
        <f t="shared" si="7"/>
        <v>40.384313725490195</v>
      </c>
      <c r="H99" s="7">
        <f>E99*'AHP Bobot'!$B$29 + F99*'AHP Bobot'!$B$30 + G99*'AHP Bobot'!$B$31</f>
        <v>14.084997354696927</v>
      </c>
      <c r="I99" s="6">
        <f t="shared" si="8"/>
        <v>338</v>
      </c>
      <c r="J99" s="8" t="str">
        <f t="shared" si="9"/>
        <v>Hijau Muda (Sangat Rendah)</v>
      </c>
    </row>
    <row r="100" spans="1:10" ht="15" customHeight="1" x14ac:dyDescent="0.35">
      <c r="A100" s="6">
        <v>98</v>
      </c>
      <c r="B100" s="6">
        <v>11</v>
      </c>
      <c r="C100" s="6">
        <v>913</v>
      </c>
      <c r="D100" s="7">
        <v>347.85625909893901</v>
      </c>
      <c r="E100" s="7">
        <f t="shared" si="5"/>
        <v>1.2149949171088525</v>
      </c>
      <c r="F100" s="7">
        <f t="shared" si="6"/>
        <v>35.03125</v>
      </c>
      <c r="G100" s="7">
        <f t="shared" si="7"/>
        <v>40.384313725490195</v>
      </c>
      <c r="H100" s="7">
        <f>E100*'AHP Bobot'!$B$29 + F100*'AHP Bobot'!$B$30 + G100*'AHP Bobot'!$B$31</f>
        <v>17.682334356974451</v>
      </c>
      <c r="I100" s="6">
        <f t="shared" si="8"/>
        <v>318</v>
      </c>
      <c r="J100" s="8" t="str">
        <f t="shared" si="9"/>
        <v>Hijau Muda (Sangat Rendah)</v>
      </c>
    </row>
    <row r="101" spans="1:10" ht="15" customHeight="1" x14ac:dyDescent="0.35">
      <c r="A101" s="6">
        <v>99</v>
      </c>
      <c r="B101" s="6">
        <v>9</v>
      </c>
      <c r="C101" s="6">
        <v>995</v>
      </c>
      <c r="D101" s="7">
        <v>418.84701261372197</v>
      </c>
      <c r="E101" s="7">
        <f t="shared" si="5"/>
        <v>5.2093092514087029</v>
      </c>
      <c r="F101" s="7">
        <f t="shared" si="6"/>
        <v>28.84375</v>
      </c>
      <c r="G101" s="7">
        <f t="shared" si="7"/>
        <v>43.921568627450981</v>
      </c>
      <c r="H101" s="7">
        <f>E101*'AHP Bobot'!$B$29 + F101*'AHP Bobot'!$B$30 + G101*'AHP Bobot'!$B$31</f>
        <v>18.575162402044498</v>
      </c>
      <c r="I101" s="6">
        <f t="shared" si="8"/>
        <v>310</v>
      </c>
      <c r="J101" s="8" t="str">
        <f t="shared" si="9"/>
        <v>Hijau Muda (Sangat Rendah)</v>
      </c>
    </row>
    <row r="102" spans="1:10" ht="15" customHeight="1" x14ac:dyDescent="0.35">
      <c r="A102" s="6">
        <v>100</v>
      </c>
      <c r="B102" s="6">
        <v>12</v>
      </c>
      <c r="C102" s="6">
        <v>1248</v>
      </c>
      <c r="D102" s="7">
        <v>457.35904724664698</v>
      </c>
      <c r="E102" s="7">
        <f t="shared" si="5"/>
        <v>7.3761995062826919</v>
      </c>
      <c r="F102" s="7">
        <f t="shared" si="6"/>
        <v>38.125</v>
      </c>
      <c r="G102" s="7">
        <f t="shared" si="7"/>
        <v>54.835294117647052</v>
      </c>
      <c r="H102" s="7">
        <f>E102*'AHP Bobot'!$B$29 + F102*'AHP Bobot'!$B$30 + G102*'AHP Bobot'!$B$31</f>
        <v>24.289417601658769</v>
      </c>
      <c r="I102" s="6">
        <f t="shared" si="8"/>
        <v>244</v>
      </c>
      <c r="J102" s="8" t="str">
        <f t="shared" si="9"/>
        <v>Hijau (Rendah)</v>
      </c>
    </row>
    <row r="103" spans="1:10" ht="15" customHeight="1" x14ac:dyDescent="0.35">
      <c r="A103" s="6">
        <v>101</v>
      </c>
      <c r="B103" s="6">
        <v>9</v>
      </c>
      <c r="C103" s="6">
        <v>1248</v>
      </c>
      <c r="D103" s="7">
        <v>380.711115972632</v>
      </c>
      <c r="E103" s="7">
        <f t="shared" si="5"/>
        <v>3.063582504429422</v>
      </c>
      <c r="F103" s="7">
        <f t="shared" si="6"/>
        <v>28.84375</v>
      </c>
      <c r="G103" s="7">
        <f t="shared" si="7"/>
        <v>54.835294117647052</v>
      </c>
      <c r="H103" s="7">
        <f>E103*'AHP Bobot'!$B$29 + F103*'AHP Bobot'!$B$30 + G103*'AHP Bobot'!$B$31</f>
        <v>19.206156490270317</v>
      </c>
      <c r="I103" s="6">
        <f t="shared" si="8"/>
        <v>300</v>
      </c>
      <c r="J103" s="8" t="str">
        <f t="shared" si="9"/>
        <v>Hijau (Rendah)</v>
      </c>
    </row>
    <row r="104" spans="1:10" ht="15" customHeight="1" x14ac:dyDescent="0.35">
      <c r="A104" s="6">
        <v>102</v>
      </c>
      <c r="B104" s="6">
        <v>4</v>
      </c>
      <c r="C104" s="6">
        <v>296</v>
      </c>
      <c r="D104" s="7">
        <v>409.76571472874002</v>
      </c>
      <c r="E104" s="7">
        <f t="shared" si="5"/>
        <v>4.6983475201956821</v>
      </c>
      <c r="F104" s="7">
        <f t="shared" si="6"/>
        <v>13.375</v>
      </c>
      <c r="G104" s="7">
        <f t="shared" si="7"/>
        <v>13.768627450980391</v>
      </c>
      <c r="H104" s="7">
        <f>E104*'AHP Bobot'!$B$29 + F104*'AHP Bobot'!$B$30 + G104*'AHP Bobot'!$B$31</f>
        <v>8.7630909299846493</v>
      </c>
      <c r="I104" s="6">
        <f t="shared" si="8"/>
        <v>370</v>
      </c>
      <c r="J104" s="8" t="str">
        <f t="shared" si="9"/>
        <v>Hijau Muda (Sangat Rendah)</v>
      </c>
    </row>
    <row r="105" spans="1:10" ht="15" customHeight="1" x14ac:dyDescent="0.35">
      <c r="A105" s="6">
        <v>103</v>
      </c>
      <c r="B105" s="6">
        <v>0</v>
      </c>
      <c r="C105" s="6">
        <v>204</v>
      </c>
      <c r="D105" s="7">
        <v>640.39476395876795</v>
      </c>
      <c r="E105" s="7">
        <f t="shared" si="5"/>
        <v>17.674754610361539</v>
      </c>
      <c r="F105" s="7">
        <f t="shared" si="6"/>
        <v>1</v>
      </c>
      <c r="G105" s="7">
        <f t="shared" si="7"/>
        <v>9.8000000000000007</v>
      </c>
      <c r="H105" s="7">
        <f>E105*'AHP Bobot'!$B$29 + F105*'AHP Bobot'!$B$30 + G105*'AHP Bobot'!$B$31</f>
        <v>11.428312910490671</v>
      </c>
      <c r="I105" s="6">
        <f t="shared" si="8"/>
        <v>352</v>
      </c>
      <c r="J105" s="8" t="str">
        <f t="shared" si="9"/>
        <v>Hijau Muda (Sangat Rendah)</v>
      </c>
    </row>
    <row r="106" spans="1:10" ht="15" customHeight="1" x14ac:dyDescent="0.35">
      <c r="A106" s="6">
        <v>104</v>
      </c>
      <c r="B106" s="6">
        <v>8</v>
      </c>
      <c r="C106" s="6">
        <v>1416</v>
      </c>
      <c r="D106" s="7">
        <v>634.65132735444604</v>
      </c>
      <c r="E106" s="7">
        <f t="shared" si="5"/>
        <v>17.351598565088569</v>
      </c>
      <c r="F106" s="7">
        <f t="shared" si="6"/>
        <v>25.75</v>
      </c>
      <c r="G106" s="7">
        <f t="shared" si="7"/>
        <v>62.082352941176474</v>
      </c>
      <c r="H106" s="7">
        <f>E106*'AHP Bobot'!$B$29 + F106*'AHP Bobot'!$B$30 + G106*'AHP Bobot'!$B$31</f>
        <v>27.174125718447492</v>
      </c>
      <c r="I106" s="6">
        <f t="shared" si="8"/>
        <v>220</v>
      </c>
      <c r="J106" s="8" t="str">
        <f t="shared" si="9"/>
        <v>Kuning (Sedang)</v>
      </c>
    </row>
    <row r="107" spans="1:10" ht="15" customHeight="1" x14ac:dyDescent="0.35">
      <c r="A107" s="6">
        <v>105</v>
      </c>
      <c r="B107" s="6">
        <v>12</v>
      </c>
      <c r="C107" s="6">
        <v>1416</v>
      </c>
      <c r="D107" s="7">
        <v>617.77934286518496</v>
      </c>
      <c r="E107" s="7">
        <f t="shared" si="5"/>
        <v>16.402291702477136</v>
      </c>
      <c r="F107" s="7">
        <f t="shared" si="6"/>
        <v>38.125</v>
      </c>
      <c r="G107" s="7">
        <f t="shared" si="7"/>
        <v>62.082352941176474</v>
      </c>
      <c r="H107" s="7">
        <f>E107*'AHP Bobot'!$B$29 + F107*'AHP Bobot'!$B$30 + G107*'AHP Bobot'!$B$31</f>
        <v>30.341057734053017</v>
      </c>
      <c r="I107" s="6">
        <f t="shared" si="8"/>
        <v>189</v>
      </c>
      <c r="J107" s="8" t="str">
        <f t="shared" si="9"/>
        <v>Kuning (Sedang)</v>
      </c>
    </row>
    <row r="108" spans="1:10" ht="15" customHeight="1" x14ac:dyDescent="0.35">
      <c r="A108" s="6">
        <v>106</v>
      </c>
      <c r="B108" s="6">
        <v>5</v>
      </c>
      <c r="C108" s="6">
        <v>1416</v>
      </c>
      <c r="D108" s="7">
        <v>575.48241355023094</v>
      </c>
      <c r="E108" s="7">
        <f t="shared" si="5"/>
        <v>14.022443303989474</v>
      </c>
      <c r="F108" s="7">
        <f t="shared" si="6"/>
        <v>16.46875</v>
      </c>
      <c r="G108" s="7">
        <f t="shared" si="7"/>
        <v>62.082352941176474</v>
      </c>
      <c r="H108" s="7">
        <f>E108*'AHP Bobot'!$B$29 + F108*'AHP Bobot'!$B$30 + G108*'AHP Bobot'!$B$31</f>
        <v>22.620912168634341</v>
      </c>
      <c r="I108" s="6">
        <f t="shared" si="8"/>
        <v>266</v>
      </c>
      <c r="J108" s="8" t="str">
        <f t="shared" si="9"/>
        <v>Hijau (Rendah)</v>
      </c>
    </row>
    <row r="109" spans="1:10" ht="15" customHeight="1" x14ac:dyDescent="0.35">
      <c r="A109" s="6">
        <v>107</v>
      </c>
      <c r="B109" s="6">
        <v>17</v>
      </c>
      <c r="C109" s="6">
        <v>1416</v>
      </c>
      <c r="D109" s="7">
        <v>550.45187527697306</v>
      </c>
      <c r="E109" s="7">
        <f t="shared" si="5"/>
        <v>12.614093161610786</v>
      </c>
      <c r="F109" s="7">
        <f t="shared" si="6"/>
        <v>53.59375</v>
      </c>
      <c r="G109" s="7">
        <f t="shared" si="7"/>
        <v>62.082352941176474</v>
      </c>
      <c r="H109" s="7">
        <f>E109*'AHP Bobot'!$B$29 + F109*'AHP Bobot'!$B$30 + G109*'AHP Bobot'!$B$31</f>
        <v>32.897580598391286</v>
      </c>
      <c r="I109" s="6">
        <f t="shared" si="8"/>
        <v>167</v>
      </c>
      <c r="J109" s="8" t="str">
        <f t="shared" si="9"/>
        <v>Kuning (Sedang)</v>
      </c>
    </row>
    <row r="110" spans="1:10" ht="15" customHeight="1" x14ac:dyDescent="0.35">
      <c r="A110" s="6">
        <v>108</v>
      </c>
      <c r="B110" s="6">
        <v>6</v>
      </c>
      <c r="C110" s="6">
        <v>1416</v>
      </c>
      <c r="D110" s="7">
        <v>573.24037350041397</v>
      </c>
      <c r="E110" s="7">
        <f t="shared" si="5"/>
        <v>13.896294301962142</v>
      </c>
      <c r="F110" s="7">
        <f t="shared" si="6"/>
        <v>19.5625</v>
      </c>
      <c r="G110" s="7">
        <f t="shared" si="7"/>
        <v>62.082352941176474</v>
      </c>
      <c r="H110" s="7">
        <f>E110*'AHP Bobot'!$B$29 + F110*'AHP Bobot'!$B$30 + G110*'AHP Bobot'!$B$31</f>
        <v>23.472565628580647</v>
      </c>
      <c r="I110" s="6">
        <f t="shared" si="8"/>
        <v>256</v>
      </c>
      <c r="J110" s="8" t="str">
        <f t="shared" si="9"/>
        <v>Hijau (Rendah)</v>
      </c>
    </row>
    <row r="111" spans="1:10" ht="15" customHeight="1" x14ac:dyDescent="0.35">
      <c r="A111" s="6">
        <v>109</v>
      </c>
      <c r="B111" s="6">
        <v>8</v>
      </c>
      <c r="C111" s="6">
        <v>1393</v>
      </c>
      <c r="D111" s="7">
        <v>551.23737515747996</v>
      </c>
      <c r="E111" s="7">
        <f t="shared" si="5"/>
        <v>12.658289529122875</v>
      </c>
      <c r="F111" s="7">
        <f t="shared" si="6"/>
        <v>25.75</v>
      </c>
      <c r="G111" s="7">
        <f t="shared" si="7"/>
        <v>61.090196078431376</v>
      </c>
      <c r="H111" s="7">
        <f>E111*'AHP Bobot'!$B$29 + F111*'AHP Bobot'!$B$30 + G111*'AHP Bobot'!$B$31</f>
        <v>24.482118894703255</v>
      </c>
      <c r="I111" s="6">
        <f t="shared" si="8"/>
        <v>243</v>
      </c>
      <c r="J111" s="8" t="str">
        <f t="shared" si="9"/>
        <v>Hijau (Rendah)</v>
      </c>
    </row>
    <row r="112" spans="1:10" ht="15" customHeight="1" x14ac:dyDescent="0.35">
      <c r="A112" s="6">
        <v>110</v>
      </c>
      <c r="B112" s="6">
        <v>13</v>
      </c>
      <c r="C112" s="6">
        <v>1393</v>
      </c>
      <c r="D112" s="7">
        <v>471.49878218073701</v>
      </c>
      <c r="E112" s="7">
        <f t="shared" si="5"/>
        <v>8.1717755937892882</v>
      </c>
      <c r="F112" s="7">
        <f t="shared" si="6"/>
        <v>41.21875</v>
      </c>
      <c r="G112" s="7">
        <f t="shared" si="7"/>
        <v>61.090196078431376</v>
      </c>
      <c r="H112" s="7">
        <f>E112*'AHP Bobot'!$B$29 + F112*'AHP Bobot'!$B$30 + G112*'AHP Bobot'!$B$31</f>
        <v>26.66227696851697</v>
      </c>
      <c r="I112" s="6">
        <f t="shared" si="8"/>
        <v>227</v>
      </c>
      <c r="J112" s="8" t="str">
        <f t="shared" si="9"/>
        <v>Hijau (Rendah)</v>
      </c>
    </row>
    <row r="113" spans="1:10" ht="15" customHeight="1" x14ac:dyDescent="0.35">
      <c r="A113" s="6">
        <v>111</v>
      </c>
      <c r="B113" s="6">
        <v>11</v>
      </c>
      <c r="C113" s="6">
        <v>1138</v>
      </c>
      <c r="D113" s="7">
        <v>496.25229432280503</v>
      </c>
      <c r="E113" s="7">
        <f t="shared" si="5"/>
        <v>9.5645387844594438</v>
      </c>
      <c r="F113" s="7">
        <f t="shared" si="6"/>
        <v>35.03125</v>
      </c>
      <c r="G113" s="7">
        <f t="shared" si="7"/>
        <v>50.090196078431369</v>
      </c>
      <c r="H113" s="7">
        <f>E113*'AHP Bobot'!$B$29 + F113*'AHP Bobot'!$B$30 + G113*'AHP Bobot'!$B$31</f>
        <v>23.772049048914234</v>
      </c>
      <c r="I113" s="6">
        <f t="shared" si="8"/>
        <v>252</v>
      </c>
      <c r="J113" s="8" t="str">
        <f t="shared" si="9"/>
        <v>Hijau (Rendah)</v>
      </c>
    </row>
    <row r="114" spans="1:10" ht="15" customHeight="1" x14ac:dyDescent="0.35">
      <c r="A114" s="6">
        <v>112</v>
      </c>
      <c r="B114" s="6">
        <v>10</v>
      </c>
      <c r="C114" s="6">
        <v>913</v>
      </c>
      <c r="D114" s="7">
        <v>560.00834803809505</v>
      </c>
      <c r="E114" s="7">
        <f t="shared" si="5"/>
        <v>13.151790738340223</v>
      </c>
      <c r="F114" s="7">
        <f t="shared" si="6"/>
        <v>31.9375</v>
      </c>
      <c r="G114" s="7">
        <f t="shared" si="7"/>
        <v>40.384313725490195</v>
      </c>
      <c r="H114" s="7">
        <f>E114*'AHP Bobot'!$B$29 + F114*'AHP Bobot'!$B$30 + G114*'AHP Bobot'!$B$31</f>
        <v>23.196159377508241</v>
      </c>
      <c r="I114" s="6">
        <f t="shared" si="8"/>
        <v>260</v>
      </c>
      <c r="J114" s="8" t="str">
        <f t="shared" si="9"/>
        <v>Hijau (Rendah)</v>
      </c>
    </row>
    <row r="115" spans="1:10" ht="15" customHeight="1" x14ac:dyDescent="0.35">
      <c r="A115" s="6">
        <v>113</v>
      </c>
      <c r="B115" s="6">
        <v>17</v>
      </c>
      <c r="C115" s="6">
        <v>914</v>
      </c>
      <c r="D115" s="7">
        <v>514.00581848416505</v>
      </c>
      <c r="E115" s="7">
        <f t="shared" si="5"/>
        <v>10.563445719956221</v>
      </c>
      <c r="F115" s="7">
        <f t="shared" si="6"/>
        <v>53.59375</v>
      </c>
      <c r="G115" s="7">
        <f t="shared" si="7"/>
        <v>40.427450980392159</v>
      </c>
      <c r="H115" s="7">
        <f>E115*'AHP Bobot'!$B$29 + F115*'AHP Bobot'!$B$30 + G115*'AHP Bobot'!$B$31</f>
        <v>28.245707305451891</v>
      </c>
      <c r="I115" s="6">
        <f t="shared" si="8"/>
        <v>211</v>
      </c>
      <c r="J115" s="8" t="str">
        <f t="shared" si="9"/>
        <v>Kuning (Sedang)</v>
      </c>
    </row>
    <row r="116" spans="1:10" ht="15" customHeight="1" x14ac:dyDescent="0.35">
      <c r="A116" s="6">
        <v>114</v>
      </c>
      <c r="B116" s="6">
        <v>11</v>
      </c>
      <c r="C116" s="6">
        <v>913</v>
      </c>
      <c r="D116" s="7">
        <v>498.42386925567303</v>
      </c>
      <c r="E116" s="7">
        <f t="shared" si="5"/>
        <v>9.6867230472388854</v>
      </c>
      <c r="F116" s="7">
        <f t="shared" si="6"/>
        <v>35.03125</v>
      </c>
      <c r="G116" s="7">
        <f t="shared" si="7"/>
        <v>40.384313725490195</v>
      </c>
      <c r="H116" s="7">
        <f>E116*'AHP Bobot'!$B$29 + F116*'AHP Bobot'!$B$30 + G116*'AHP Bobot'!$B$31</f>
        <v>22.248265751784793</v>
      </c>
      <c r="I116" s="6">
        <f t="shared" si="8"/>
        <v>270</v>
      </c>
      <c r="J116" s="8" t="str">
        <f t="shared" si="9"/>
        <v>Hijau (Rendah)</v>
      </c>
    </row>
    <row r="117" spans="1:10" ht="15" customHeight="1" x14ac:dyDescent="0.35">
      <c r="A117" s="6">
        <v>115</v>
      </c>
      <c r="B117" s="6">
        <v>12</v>
      </c>
      <c r="C117" s="6">
        <v>913</v>
      </c>
      <c r="D117" s="7">
        <v>432.67535514880899</v>
      </c>
      <c r="E117" s="7">
        <f t="shared" si="5"/>
        <v>5.9873647596659065</v>
      </c>
      <c r="F117" s="7">
        <f t="shared" si="6"/>
        <v>38.125</v>
      </c>
      <c r="G117" s="7">
        <f t="shared" si="7"/>
        <v>40.384313725490195</v>
      </c>
      <c r="H117" s="7">
        <f>E117*'AHP Bobot'!$B$29 + F117*'AHP Bobot'!$B$30 + G117*'AHP Bobot'!$B$31</f>
        <v>21.174098622768188</v>
      </c>
      <c r="I117" s="6">
        <f t="shared" si="8"/>
        <v>280</v>
      </c>
      <c r="J117" s="8" t="str">
        <f t="shared" si="9"/>
        <v>Hijau (Rendah)</v>
      </c>
    </row>
    <row r="118" spans="1:10" ht="15" customHeight="1" x14ac:dyDescent="0.35">
      <c r="A118" s="6">
        <v>116</v>
      </c>
      <c r="B118" s="6">
        <v>5</v>
      </c>
      <c r="C118" s="6">
        <v>987</v>
      </c>
      <c r="D118" s="7">
        <v>374.32266813865499</v>
      </c>
      <c r="E118" s="7">
        <f t="shared" si="5"/>
        <v>2.7041347243482106</v>
      </c>
      <c r="F118" s="7">
        <f t="shared" si="6"/>
        <v>16.46875</v>
      </c>
      <c r="G118" s="7">
        <f t="shared" si="7"/>
        <v>43.576470588235296</v>
      </c>
      <c r="H118" s="7">
        <f>E118*'AHP Bobot'!$B$29 + F118*'AHP Bobot'!$B$30 + G118*'AHP Bobot'!$B$31</f>
        <v>13.489879121657665</v>
      </c>
      <c r="I118" s="6">
        <f t="shared" si="8"/>
        <v>341</v>
      </c>
      <c r="J118" s="8" t="str">
        <f t="shared" si="9"/>
        <v>Hijau Muda (Sangat Rendah)</v>
      </c>
    </row>
    <row r="119" spans="1:10" ht="15" customHeight="1" x14ac:dyDescent="0.35">
      <c r="A119" s="6">
        <v>117</v>
      </c>
      <c r="B119" s="6">
        <v>8</v>
      </c>
      <c r="C119" s="6">
        <v>1239</v>
      </c>
      <c r="D119" s="7">
        <v>460.04407706874099</v>
      </c>
      <c r="E119" s="7">
        <f t="shared" si="5"/>
        <v>7.5272734500770673</v>
      </c>
      <c r="F119" s="7">
        <f t="shared" si="6"/>
        <v>25.75</v>
      </c>
      <c r="G119" s="7">
        <f t="shared" si="7"/>
        <v>54.44705882352941</v>
      </c>
      <c r="H119" s="7">
        <f>E119*'AHP Bobot'!$B$29 + F119*'AHP Bobot'!$B$30 + G119*'AHP Bobot'!$B$31</f>
        <v>20.628683708621029</v>
      </c>
      <c r="I119" s="6">
        <f t="shared" si="8"/>
        <v>287</v>
      </c>
      <c r="J119" s="8" t="str">
        <f t="shared" si="9"/>
        <v>Hijau (Rendah)</v>
      </c>
    </row>
    <row r="120" spans="1:10" ht="15" customHeight="1" x14ac:dyDescent="0.35">
      <c r="A120" s="6">
        <v>118</v>
      </c>
      <c r="B120" s="6">
        <v>11</v>
      </c>
      <c r="C120" s="6">
        <v>1248</v>
      </c>
      <c r="D120" s="7">
        <v>485.51606394773802</v>
      </c>
      <c r="E120" s="7">
        <f t="shared" si="5"/>
        <v>8.960461820062303</v>
      </c>
      <c r="F120" s="7">
        <f t="shared" si="6"/>
        <v>35.03125</v>
      </c>
      <c r="G120" s="7">
        <f t="shared" si="7"/>
        <v>54.835294117647052</v>
      </c>
      <c r="H120" s="7">
        <f>E120*'AHP Bobot'!$B$29 + F120*'AHP Bobot'!$B$30 + G120*'AHP Bobot'!$B$31</f>
        <v>24.223630407137389</v>
      </c>
      <c r="I120" s="6">
        <f t="shared" si="8"/>
        <v>246</v>
      </c>
      <c r="J120" s="8" t="str">
        <f t="shared" si="9"/>
        <v>Hijau (Rendah)</v>
      </c>
    </row>
    <row r="121" spans="1:10" ht="15" customHeight="1" x14ac:dyDescent="0.35">
      <c r="A121" s="6">
        <v>119</v>
      </c>
      <c r="B121" s="6">
        <v>10</v>
      </c>
      <c r="C121" s="6">
        <v>922</v>
      </c>
      <c r="D121" s="7">
        <v>473.29800306400398</v>
      </c>
      <c r="E121" s="7">
        <f t="shared" si="5"/>
        <v>8.2730092532278832</v>
      </c>
      <c r="F121" s="7">
        <f t="shared" si="6"/>
        <v>31.9375</v>
      </c>
      <c r="G121" s="7">
        <f t="shared" si="7"/>
        <v>40.772549019607844</v>
      </c>
      <c r="H121" s="7">
        <f>E121*'AHP Bobot'!$B$29 + F121*'AHP Bobot'!$B$30 + G121*'AHP Bobot'!$B$31</f>
        <v>20.630271673601882</v>
      </c>
      <c r="I121" s="6">
        <f t="shared" si="8"/>
        <v>286</v>
      </c>
      <c r="J121" s="8" t="str">
        <f t="shared" si="9"/>
        <v>Hijau (Rendah)</v>
      </c>
    </row>
    <row r="122" spans="1:10" ht="15" customHeight="1" x14ac:dyDescent="0.35">
      <c r="A122" s="6">
        <v>120</v>
      </c>
      <c r="B122" s="6">
        <v>1</v>
      </c>
      <c r="C122" s="6">
        <v>347</v>
      </c>
      <c r="D122" s="7">
        <v>631.62593288705204</v>
      </c>
      <c r="E122" s="7">
        <f t="shared" si="5"/>
        <v>17.181373910612869</v>
      </c>
      <c r="F122" s="7">
        <f t="shared" si="6"/>
        <v>4.09375</v>
      </c>
      <c r="G122" s="7">
        <f t="shared" si="7"/>
        <v>15.968627450980392</v>
      </c>
      <c r="H122" s="7">
        <f>E122*'AHP Bobot'!$B$29 + F122*'AHP Bobot'!$B$30 + G122*'AHP Bobot'!$B$31</f>
        <v>13.092344691630855</v>
      </c>
      <c r="I122" s="6">
        <f t="shared" si="8"/>
        <v>344</v>
      </c>
      <c r="J122" s="8" t="str">
        <f t="shared" si="9"/>
        <v>Hijau Muda (Sangat Rendah)</v>
      </c>
    </row>
    <row r="123" spans="1:10" ht="15" customHeight="1" x14ac:dyDescent="0.35">
      <c r="A123" s="6">
        <v>121</v>
      </c>
      <c r="B123" s="6">
        <v>6</v>
      </c>
      <c r="C123" s="6">
        <v>707</v>
      </c>
      <c r="D123" s="7">
        <v>552.21171146239499</v>
      </c>
      <c r="E123" s="7">
        <f t="shared" si="5"/>
        <v>12.713110830158094</v>
      </c>
      <c r="F123" s="7">
        <f t="shared" si="6"/>
        <v>19.5625</v>
      </c>
      <c r="G123" s="7">
        <f t="shared" si="7"/>
        <v>31.498039215686273</v>
      </c>
      <c r="H123" s="7">
        <f>E123*'AHP Bobot'!$B$29 + F123*'AHP Bobot'!$B$30 + G123*'AHP Bobot'!$B$31</f>
        <v>17.825756632098759</v>
      </c>
      <c r="I123" s="6">
        <f t="shared" si="8"/>
        <v>315</v>
      </c>
      <c r="J123" s="8" t="str">
        <f t="shared" si="9"/>
        <v>Hijau Muda (Sangat Rendah)</v>
      </c>
    </row>
    <row r="124" spans="1:10" ht="15" customHeight="1" x14ac:dyDescent="0.35">
      <c r="A124" s="6">
        <v>122</v>
      </c>
      <c r="B124" s="6">
        <v>9</v>
      </c>
      <c r="C124" s="6">
        <v>1415</v>
      </c>
      <c r="D124" s="7">
        <v>613.62635539052405</v>
      </c>
      <c r="E124" s="7">
        <f t="shared" si="5"/>
        <v>16.168622716321753</v>
      </c>
      <c r="F124" s="7">
        <f t="shared" si="6"/>
        <v>28.84375</v>
      </c>
      <c r="G124" s="7">
        <f t="shared" si="7"/>
        <v>62.039215686274503</v>
      </c>
      <c r="H124" s="7">
        <f>E124*'AHP Bobot'!$B$29 + F124*'AHP Bobot'!$B$30 + G124*'AHP Bobot'!$B$31</f>
        <v>27.449125634831645</v>
      </c>
      <c r="I124" s="6">
        <f t="shared" si="8"/>
        <v>218</v>
      </c>
      <c r="J124" s="8" t="str">
        <f t="shared" si="9"/>
        <v>Kuning (Sedang)</v>
      </c>
    </row>
    <row r="125" spans="1:10" ht="15" customHeight="1" x14ac:dyDescent="0.35">
      <c r="A125" s="6">
        <v>123</v>
      </c>
      <c r="B125" s="6">
        <v>12</v>
      </c>
      <c r="C125" s="6">
        <v>1415</v>
      </c>
      <c r="D125" s="7">
        <v>591.89183829198998</v>
      </c>
      <c r="E125" s="7">
        <f t="shared" si="5"/>
        <v>14.945724114778079</v>
      </c>
      <c r="F125" s="7">
        <f t="shared" si="6"/>
        <v>38.125</v>
      </c>
      <c r="G125" s="7">
        <f t="shared" si="7"/>
        <v>62.039215686274503</v>
      </c>
      <c r="H125" s="7">
        <f>E125*'AHP Bobot'!$B$29 + F125*'AHP Bobot'!$B$30 + G125*'AHP Bobot'!$B$31</f>
        <v>29.548959505428236</v>
      </c>
      <c r="I125" s="6">
        <f t="shared" si="8"/>
        <v>199</v>
      </c>
      <c r="J125" s="8" t="str">
        <f t="shared" si="9"/>
        <v>Kuning (Sedang)</v>
      </c>
    </row>
    <row r="126" spans="1:10" ht="15" customHeight="1" x14ac:dyDescent="0.35">
      <c r="A126" s="6">
        <v>124</v>
      </c>
      <c r="B126" s="6">
        <v>17</v>
      </c>
      <c r="C126" s="6">
        <v>1414</v>
      </c>
      <c r="D126" s="7">
        <v>618.75913615303898</v>
      </c>
      <c r="E126" s="7">
        <f t="shared" si="5"/>
        <v>16.457420042163108</v>
      </c>
      <c r="F126" s="7">
        <f t="shared" si="6"/>
        <v>53.59375</v>
      </c>
      <c r="G126" s="7">
        <f t="shared" si="7"/>
        <v>61.996078431372545</v>
      </c>
      <c r="H126" s="7">
        <f>E126*'AHP Bobot'!$B$29 + F126*'AHP Bobot'!$B$30 + G126*'AHP Bobot'!$B$31</f>
        <v>34.954853950517617</v>
      </c>
      <c r="I126" s="6">
        <f t="shared" si="8"/>
        <v>148</v>
      </c>
      <c r="J126" s="8" t="str">
        <f t="shared" si="9"/>
        <v>Oranye (Besar)</v>
      </c>
    </row>
    <row r="127" spans="1:10" ht="15" customHeight="1" x14ac:dyDescent="0.35">
      <c r="A127" s="6">
        <v>125</v>
      </c>
      <c r="B127" s="6">
        <v>20</v>
      </c>
      <c r="C127" s="6">
        <v>1414</v>
      </c>
      <c r="D127" s="7">
        <v>537.71987608115001</v>
      </c>
      <c r="E127" s="7">
        <f t="shared" si="5"/>
        <v>11.89772371384066</v>
      </c>
      <c r="F127" s="7">
        <f t="shared" si="6"/>
        <v>62.875</v>
      </c>
      <c r="G127" s="7">
        <f t="shared" si="7"/>
        <v>61.996078431372545</v>
      </c>
      <c r="H127" s="7">
        <f>E127*'AHP Bobot'!$B$29 + F127*'AHP Bobot'!$B$30 + G127*'AHP Bobot'!$B$31</f>
        <v>35.256283851486685</v>
      </c>
      <c r="I127" s="6">
        <f t="shared" si="8"/>
        <v>143</v>
      </c>
      <c r="J127" s="8" t="str">
        <f t="shared" si="9"/>
        <v>Oranye (Besar)</v>
      </c>
    </row>
    <row r="128" spans="1:10" ht="15" customHeight="1" x14ac:dyDescent="0.35">
      <c r="A128" s="6">
        <v>126</v>
      </c>
      <c r="B128" s="6">
        <v>10</v>
      </c>
      <c r="C128" s="6">
        <v>1413</v>
      </c>
      <c r="D128" s="7">
        <v>588.60354403179497</v>
      </c>
      <c r="E128" s="7">
        <f t="shared" si="5"/>
        <v>14.76070733092104</v>
      </c>
      <c r="F128" s="7">
        <f t="shared" si="6"/>
        <v>31.9375</v>
      </c>
      <c r="G128" s="7">
        <f t="shared" si="7"/>
        <v>61.952941176470588</v>
      </c>
      <c r="H128" s="7">
        <f>E128*'AHP Bobot'!$B$29 + F128*'AHP Bobot'!$B$30 + G128*'AHP Bobot'!$B$31</f>
        <v>27.595826856606664</v>
      </c>
      <c r="I128" s="6">
        <f t="shared" si="8"/>
        <v>217</v>
      </c>
      <c r="J128" s="8" t="str">
        <f t="shared" si="9"/>
        <v>Kuning (Sedang)</v>
      </c>
    </row>
    <row r="129" spans="1:10" ht="15" customHeight="1" x14ac:dyDescent="0.35">
      <c r="A129" s="6">
        <v>127</v>
      </c>
      <c r="B129" s="6">
        <v>20</v>
      </c>
      <c r="C129" s="6">
        <v>1406</v>
      </c>
      <c r="D129" s="7">
        <v>580.145123574629</v>
      </c>
      <c r="E129" s="7">
        <f t="shared" si="5"/>
        <v>14.284791970048618</v>
      </c>
      <c r="F129" s="7">
        <f t="shared" si="6"/>
        <v>62.875</v>
      </c>
      <c r="G129" s="7">
        <f t="shared" si="7"/>
        <v>61.65098039215686</v>
      </c>
      <c r="H129" s="7">
        <f>E129*'AHP Bobot'!$B$29 + F129*'AHP Bobot'!$B$30 + G129*'AHP Bobot'!$B$31</f>
        <v>36.486300252991285</v>
      </c>
      <c r="I129" s="6">
        <f t="shared" si="8"/>
        <v>129</v>
      </c>
      <c r="J129" s="8" t="str">
        <f t="shared" si="9"/>
        <v>Oranye (Besar)</v>
      </c>
    </row>
    <row r="130" spans="1:10" ht="15" customHeight="1" x14ac:dyDescent="0.35">
      <c r="A130" s="6">
        <v>128</v>
      </c>
      <c r="B130" s="6">
        <v>10</v>
      </c>
      <c r="C130" s="6">
        <v>1393</v>
      </c>
      <c r="D130" s="7">
        <v>562.63462814775505</v>
      </c>
      <c r="E130" s="7">
        <f t="shared" ref="E130:E193" si="10">1+($D130-MIN($D$2:$D$379))/(MAX($D$2:$D$379)-MIN($D$2:$D$379))*99</f>
        <v>13.29955911335426</v>
      </c>
      <c r="F130" s="7">
        <f t="shared" ref="F130:F193" si="11">1+($B130-MIN($B$2:$B$379))/(MAX($B$2:$B$379)-MIN($B$2:$B$379))*99</f>
        <v>31.9375</v>
      </c>
      <c r="G130" s="7">
        <f t="shared" ref="G130:G193" si="12">1+($C130-MIN($C$2:$C$379))/(MAX($C$2:$C$379)-MIN($C$2:$C$379))*99</f>
        <v>61.090196078431376</v>
      </c>
      <c r="H130" s="7">
        <f>E130*'AHP Bobot'!$B$29 + F130*'AHP Bobot'!$B$30 + G130*'AHP Bobot'!$B$31</f>
        <v>26.667023930360429</v>
      </c>
      <c r="I130" s="6">
        <f t="shared" ref="I130:I193" si="13">RANK(H130,$H$2:$H$379)</f>
        <v>226</v>
      </c>
      <c r="J130" s="8" t="str">
        <f t="shared" ref="J130:J193" si="14">CHOOSE(MIN(5,ROUNDUP(I130*5/378,0)),"Merah (Sangat Besar)","Oranye (Besar)","Kuning (Sedang)","Hijau (Rendah)","Hijau Muda (Sangat Rendah)")</f>
        <v>Kuning (Sedang)</v>
      </c>
    </row>
    <row r="131" spans="1:10" ht="15" customHeight="1" x14ac:dyDescent="0.35">
      <c r="A131" s="6">
        <v>129</v>
      </c>
      <c r="B131" s="6">
        <v>7</v>
      </c>
      <c r="C131" s="6">
        <v>1393</v>
      </c>
      <c r="D131" s="7">
        <v>545.47467287443101</v>
      </c>
      <c r="E131" s="7">
        <f t="shared" si="10"/>
        <v>12.334049495120537</v>
      </c>
      <c r="F131" s="7">
        <f t="shared" si="11"/>
        <v>22.65625</v>
      </c>
      <c r="G131" s="7">
        <f t="shared" si="12"/>
        <v>61.090196078431376</v>
      </c>
      <c r="H131" s="7">
        <f>E131*'AHP Bobot'!$B$29 + F131*'AHP Bobot'!$B$30 + G131*'AHP Bobot'!$B$31</f>
        <v>23.387723291961734</v>
      </c>
      <c r="I131" s="6">
        <f t="shared" si="13"/>
        <v>258</v>
      </c>
      <c r="J131" s="8" t="str">
        <f t="shared" si="14"/>
        <v>Hijau (Rendah)</v>
      </c>
    </row>
    <row r="132" spans="1:10" ht="15" customHeight="1" x14ac:dyDescent="0.35">
      <c r="A132" s="6">
        <v>130</v>
      </c>
      <c r="B132" s="6">
        <v>10</v>
      </c>
      <c r="C132" s="6">
        <v>1268</v>
      </c>
      <c r="D132" s="7">
        <v>590.30850580812398</v>
      </c>
      <c r="E132" s="7">
        <f t="shared" si="10"/>
        <v>14.85663747569977</v>
      </c>
      <c r="F132" s="7">
        <f t="shared" si="11"/>
        <v>31.9375</v>
      </c>
      <c r="G132" s="7">
        <f t="shared" si="12"/>
        <v>55.698039215686272</v>
      </c>
      <c r="H132" s="7">
        <f>E132*'AHP Bobot'!$B$29 + F132*'AHP Bobot'!$B$30 + G132*'AHP Bobot'!$B$31</f>
        <v>26.623097472084062</v>
      </c>
      <c r="I132" s="6">
        <f t="shared" si="13"/>
        <v>228</v>
      </c>
      <c r="J132" s="8" t="str">
        <f t="shared" si="14"/>
        <v>Hijau (Rendah)</v>
      </c>
    </row>
    <row r="133" spans="1:10" ht="15" customHeight="1" x14ac:dyDescent="0.35">
      <c r="A133" s="6">
        <v>131</v>
      </c>
      <c r="B133" s="6">
        <v>7</v>
      </c>
      <c r="C133" s="6">
        <v>1217</v>
      </c>
      <c r="D133" s="7">
        <v>615.12136805288901</v>
      </c>
      <c r="E133" s="7">
        <f t="shared" si="10"/>
        <v>16.252740016274075</v>
      </c>
      <c r="F133" s="7">
        <f t="shared" si="11"/>
        <v>22.65625</v>
      </c>
      <c r="G133" s="7">
        <f t="shared" si="12"/>
        <v>53.498039215686276</v>
      </c>
      <c r="H133" s="7">
        <f>E133*'AHP Bobot'!$B$29 + F133*'AHP Bobot'!$B$30 + G133*'AHP Bobot'!$B$31</f>
        <v>24.256296316102105</v>
      </c>
      <c r="I133" s="6">
        <f t="shared" si="13"/>
        <v>245</v>
      </c>
      <c r="J133" s="8" t="str">
        <f t="shared" si="14"/>
        <v>Hijau (Rendah)</v>
      </c>
    </row>
    <row r="134" spans="1:10" ht="15" customHeight="1" x14ac:dyDescent="0.35">
      <c r="A134" s="6">
        <v>132</v>
      </c>
      <c r="B134" s="6">
        <v>4</v>
      </c>
      <c r="C134" s="6">
        <v>913</v>
      </c>
      <c r="D134" s="7">
        <v>581.16728111315695</v>
      </c>
      <c r="E134" s="7">
        <f t="shared" si="10"/>
        <v>14.342303945987917</v>
      </c>
      <c r="F134" s="7">
        <f t="shared" si="11"/>
        <v>13.375</v>
      </c>
      <c r="G134" s="7">
        <f t="shared" si="12"/>
        <v>40.384313725490195</v>
      </c>
      <c r="H134" s="7">
        <f>E134*'AHP Bobot'!$B$29 + F134*'AHP Bobot'!$B$30 + G134*'AHP Bobot'!$B$31</f>
        <v>18.31994246994174</v>
      </c>
      <c r="I134" s="6">
        <f t="shared" si="13"/>
        <v>311</v>
      </c>
      <c r="J134" s="8" t="str">
        <f t="shared" si="14"/>
        <v>Hijau Muda (Sangat Rendah)</v>
      </c>
    </row>
    <row r="135" spans="1:10" ht="15" customHeight="1" x14ac:dyDescent="0.35">
      <c r="A135" s="6">
        <v>133</v>
      </c>
      <c r="B135" s="6">
        <v>14</v>
      </c>
      <c r="C135" s="6">
        <v>913</v>
      </c>
      <c r="D135" s="7">
        <v>544.40978232083899</v>
      </c>
      <c r="E135" s="7">
        <f t="shared" si="10"/>
        <v>12.274133134297751</v>
      </c>
      <c r="F135" s="7">
        <f t="shared" si="11"/>
        <v>44.3125</v>
      </c>
      <c r="G135" s="7">
        <f t="shared" si="12"/>
        <v>40.384313725490195</v>
      </c>
      <c r="H135" s="7">
        <f>E135*'AHP Bobot'!$B$29 + F135*'AHP Bobot'!$B$30 + G135*'AHP Bobot'!$B$31</f>
        <v>26.401707551952882</v>
      </c>
      <c r="I135" s="6">
        <f t="shared" si="13"/>
        <v>230</v>
      </c>
      <c r="J135" s="8" t="str">
        <f t="shared" si="14"/>
        <v>Hijau (Rendah)</v>
      </c>
    </row>
    <row r="136" spans="1:10" ht="15" customHeight="1" x14ac:dyDescent="0.35">
      <c r="A136" s="6">
        <v>134</v>
      </c>
      <c r="B136" s="6">
        <v>6</v>
      </c>
      <c r="C136" s="6">
        <v>913</v>
      </c>
      <c r="D136" s="7">
        <v>432.39082519997498</v>
      </c>
      <c r="E136" s="7">
        <f t="shared" si="10"/>
        <v>5.9713556035871704</v>
      </c>
      <c r="F136" s="7">
        <f t="shared" si="11"/>
        <v>19.5625</v>
      </c>
      <c r="G136" s="7">
        <f t="shared" si="12"/>
        <v>40.384313725490195</v>
      </c>
      <c r="H136" s="7">
        <f>E136*'AHP Bobot'!$B$29 + F136*'AHP Bobot'!$B$30 + G136*'AHP Bobot'!$B$31</f>
        <v>15.64761316851796</v>
      </c>
      <c r="I136" s="6">
        <f t="shared" si="13"/>
        <v>330</v>
      </c>
      <c r="J136" s="8" t="str">
        <f t="shared" si="14"/>
        <v>Hijau Muda (Sangat Rendah)</v>
      </c>
    </row>
    <row r="137" spans="1:10" ht="15" customHeight="1" x14ac:dyDescent="0.35">
      <c r="A137" s="6">
        <v>135</v>
      </c>
      <c r="B137" s="6">
        <v>6</v>
      </c>
      <c r="C137" s="6">
        <v>1067</v>
      </c>
      <c r="D137" s="7">
        <v>441.03935070840299</v>
      </c>
      <c r="E137" s="7">
        <f t="shared" si="10"/>
        <v>6.4579672776226955</v>
      </c>
      <c r="F137" s="7">
        <f t="shared" si="11"/>
        <v>19.5625</v>
      </c>
      <c r="G137" s="7">
        <f t="shared" si="12"/>
        <v>47.027450980392153</v>
      </c>
      <c r="H137" s="7">
        <f>E137*'AHP Bobot'!$B$29 + F137*'AHP Bobot'!$B$30 + G137*'AHP Bobot'!$B$31</f>
        <v>16.997895331120613</v>
      </c>
      <c r="I137" s="6">
        <f t="shared" si="13"/>
        <v>323</v>
      </c>
      <c r="J137" s="8" t="str">
        <f t="shared" si="14"/>
        <v>Hijau Muda (Sangat Rendah)</v>
      </c>
    </row>
    <row r="138" spans="1:10" ht="15" customHeight="1" x14ac:dyDescent="0.35">
      <c r="A138" s="6">
        <v>136</v>
      </c>
      <c r="B138" s="6">
        <v>10</v>
      </c>
      <c r="C138" s="6">
        <v>1248</v>
      </c>
      <c r="D138" s="7">
        <v>513.30196620673905</v>
      </c>
      <c r="E138" s="7">
        <f t="shared" si="10"/>
        <v>10.523843277359711</v>
      </c>
      <c r="F138" s="7">
        <f t="shared" si="11"/>
        <v>31.9375</v>
      </c>
      <c r="G138" s="7">
        <f t="shared" si="12"/>
        <v>54.835294117647052</v>
      </c>
      <c r="H138" s="7">
        <f>E138*'AHP Bobot'!$B$29 + F138*'AHP Bobot'!$B$30 + G138*'AHP Bobot'!$B$31</f>
        <v>24.146589244511965</v>
      </c>
      <c r="I138" s="6">
        <f t="shared" si="13"/>
        <v>249</v>
      </c>
      <c r="J138" s="8" t="str">
        <f t="shared" si="14"/>
        <v>Hijau (Rendah)</v>
      </c>
    </row>
    <row r="139" spans="1:10" ht="15" customHeight="1" x14ac:dyDescent="0.35">
      <c r="A139" s="6">
        <v>137</v>
      </c>
      <c r="B139" s="6">
        <v>5</v>
      </c>
      <c r="C139" s="6">
        <v>1248</v>
      </c>
      <c r="D139" s="7">
        <v>491.28560104172999</v>
      </c>
      <c r="E139" s="7">
        <f t="shared" si="10"/>
        <v>9.2850864165882143</v>
      </c>
      <c r="F139" s="7">
        <f t="shared" si="11"/>
        <v>16.46875</v>
      </c>
      <c r="G139" s="7">
        <f t="shared" si="12"/>
        <v>54.835294117647052</v>
      </c>
      <c r="H139" s="7">
        <f>E139*'AHP Bobot'!$B$29 + F139*'AHP Bobot'!$B$30 + G139*'AHP Bobot'!$B$31</f>
        <v>18.880733274096158</v>
      </c>
      <c r="I139" s="6">
        <f t="shared" si="13"/>
        <v>304</v>
      </c>
      <c r="J139" s="8" t="str">
        <f t="shared" si="14"/>
        <v>Hijau Muda (Sangat Rendah)</v>
      </c>
    </row>
    <row r="140" spans="1:10" ht="15" customHeight="1" x14ac:dyDescent="0.35">
      <c r="A140" s="6">
        <v>138</v>
      </c>
      <c r="B140" s="6">
        <v>2</v>
      </c>
      <c r="C140" s="6">
        <v>220</v>
      </c>
      <c r="D140" s="7">
        <v>474.34011319883302</v>
      </c>
      <c r="E140" s="7">
        <f t="shared" si="10"/>
        <v>8.3316438675033897</v>
      </c>
      <c r="F140" s="7">
        <f t="shared" si="11"/>
        <v>7.1875</v>
      </c>
      <c r="G140" s="7">
        <f t="shared" si="12"/>
        <v>10.490196078431373</v>
      </c>
      <c r="H140" s="7">
        <f>E140*'AHP Bobot'!$B$29 + F140*'AHP Bobot'!$B$30 + G140*'AHP Bobot'!$B$31</f>
        <v>8.3450667235418141</v>
      </c>
      <c r="I140" s="6">
        <f t="shared" si="13"/>
        <v>373</v>
      </c>
      <c r="J140" s="8" t="str">
        <f t="shared" si="14"/>
        <v>Hijau Muda (Sangat Rendah)</v>
      </c>
    </row>
    <row r="141" spans="1:10" ht="15" customHeight="1" x14ac:dyDescent="0.35">
      <c r="A141" s="6">
        <v>139</v>
      </c>
      <c r="B141" s="6">
        <v>0</v>
      </c>
      <c r="C141" s="6">
        <v>244</v>
      </c>
      <c r="D141" s="7">
        <v>667.53331639673797</v>
      </c>
      <c r="E141" s="7">
        <f t="shared" si="10"/>
        <v>19.201712751361672</v>
      </c>
      <c r="F141" s="7">
        <f t="shared" si="11"/>
        <v>1</v>
      </c>
      <c r="G141" s="7">
        <f t="shared" si="12"/>
        <v>11.525490196078431</v>
      </c>
      <c r="H141" s="7">
        <f>E141*'AHP Bobot'!$B$29 + F141*'AHP Bobot'!$B$30 + G141*'AHP Bobot'!$B$31</f>
        <v>12.533885786274872</v>
      </c>
      <c r="I141" s="6">
        <f t="shared" si="13"/>
        <v>347</v>
      </c>
      <c r="J141" s="8" t="str">
        <f t="shared" si="14"/>
        <v>Hijau Muda (Sangat Rendah)</v>
      </c>
    </row>
    <row r="142" spans="1:10" ht="15" customHeight="1" x14ac:dyDescent="0.35">
      <c r="A142" s="6">
        <v>140</v>
      </c>
      <c r="B142" s="6">
        <v>11</v>
      </c>
      <c r="C142" s="6">
        <v>1688</v>
      </c>
      <c r="D142" s="7">
        <v>583.87743372350303</v>
      </c>
      <c r="E142" s="7">
        <f t="shared" si="10"/>
        <v>14.49479143039518</v>
      </c>
      <c r="F142" s="7">
        <f t="shared" si="11"/>
        <v>35.03125</v>
      </c>
      <c r="G142" s="7">
        <f t="shared" si="12"/>
        <v>73.815686274509801</v>
      </c>
      <c r="H142" s="7">
        <f>E142*'AHP Bobot'!$B$29 + F142*'AHP Bobot'!$B$30 + G142*'AHP Bobot'!$B$31</f>
        <v>30.315039670143523</v>
      </c>
      <c r="I142" s="6">
        <f t="shared" si="13"/>
        <v>190</v>
      </c>
      <c r="J142" s="8" t="str">
        <f t="shared" si="14"/>
        <v>Kuning (Sedang)</v>
      </c>
    </row>
    <row r="143" spans="1:10" ht="15" customHeight="1" x14ac:dyDescent="0.35">
      <c r="A143" s="6">
        <v>141</v>
      </c>
      <c r="B143" s="6">
        <v>12</v>
      </c>
      <c r="C143" s="6">
        <v>1647</v>
      </c>
      <c r="D143" s="7">
        <v>585.37865850167702</v>
      </c>
      <c r="E143" s="7">
        <f t="shared" si="10"/>
        <v>14.579258256757543</v>
      </c>
      <c r="F143" s="7">
        <f t="shared" si="11"/>
        <v>38.125</v>
      </c>
      <c r="G143" s="7">
        <f t="shared" si="12"/>
        <v>72.047058823529412</v>
      </c>
      <c r="H143" s="7">
        <f>E143*'AHP Bobot'!$B$29 + F143*'AHP Bobot'!$B$30 + G143*'AHP Bobot'!$B$31</f>
        <v>30.99053987787811</v>
      </c>
      <c r="I143" s="6">
        <f t="shared" si="13"/>
        <v>185</v>
      </c>
      <c r="J143" s="8" t="str">
        <f t="shared" si="14"/>
        <v>Kuning (Sedang)</v>
      </c>
    </row>
    <row r="144" spans="1:10" ht="15" customHeight="1" x14ac:dyDescent="0.35">
      <c r="A144" s="6">
        <v>142</v>
      </c>
      <c r="B144" s="6">
        <v>13</v>
      </c>
      <c r="C144" s="6">
        <v>1416</v>
      </c>
      <c r="D144" s="7">
        <v>621.04237786286399</v>
      </c>
      <c r="E144" s="7">
        <f t="shared" si="10"/>
        <v>16.585887266959165</v>
      </c>
      <c r="F144" s="7">
        <f t="shared" si="11"/>
        <v>41.21875</v>
      </c>
      <c r="G144" s="7">
        <f t="shared" si="12"/>
        <v>62.082352941176474</v>
      </c>
      <c r="H144" s="7">
        <f>E144*'AHP Bobot'!$B$29 + F144*'AHP Bobot'!$B$30 + G144*'AHP Bobot'!$B$31</f>
        <v>31.359651447377747</v>
      </c>
      <c r="I144" s="6">
        <f t="shared" si="13"/>
        <v>181</v>
      </c>
      <c r="J144" s="8" t="str">
        <f t="shared" si="14"/>
        <v>Kuning (Sedang)</v>
      </c>
    </row>
    <row r="145" spans="1:10" ht="15" customHeight="1" x14ac:dyDescent="0.35">
      <c r="A145" s="6">
        <v>143</v>
      </c>
      <c r="B145" s="6">
        <v>11</v>
      </c>
      <c r="C145" s="6">
        <v>1413</v>
      </c>
      <c r="D145" s="7">
        <v>627.77162902753105</v>
      </c>
      <c r="E145" s="7">
        <f t="shared" si="10"/>
        <v>16.964510440476211</v>
      </c>
      <c r="F145" s="7">
        <f t="shared" si="11"/>
        <v>35.03125</v>
      </c>
      <c r="G145" s="7">
        <f t="shared" si="12"/>
        <v>61.952941176470588</v>
      </c>
      <c r="H145" s="7">
        <f>E145*'AHP Bobot'!$B$29 + F145*'AHP Bobot'!$B$30 + G145*'AHP Bobot'!$B$31</f>
        <v>29.703233727340944</v>
      </c>
      <c r="I145" s="6">
        <f t="shared" si="13"/>
        <v>196</v>
      </c>
      <c r="J145" s="8" t="str">
        <f t="shared" si="14"/>
        <v>Kuning (Sedang)</v>
      </c>
    </row>
    <row r="146" spans="1:10" ht="15" customHeight="1" x14ac:dyDescent="0.35">
      <c r="A146" s="6">
        <v>144</v>
      </c>
      <c r="B146" s="6">
        <v>10</v>
      </c>
      <c r="C146" s="6">
        <v>1413</v>
      </c>
      <c r="D146" s="7">
        <v>673.77797860242401</v>
      </c>
      <c r="E146" s="7">
        <f t="shared" si="10"/>
        <v>19.553070393393718</v>
      </c>
      <c r="F146" s="7">
        <f t="shared" si="11"/>
        <v>31.9375</v>
      </c>
      <c r="G146" s="7">
        <f t="shared" si="12"/>
        <v>61.952941176470588</v>
      </c>
      <c r="H146" s="7">
        <f>E146*'AHP Bobot'!$B$29 + F146*'AHP Bobot'!$B$30 + G146*'AHP Bobot'!$B$31</f>
        <v>30.178723831835448</v>
      </c>
      <c r="I146" s="6">
        <f t="shared" si="13"/>
        <v>192</v>
      </c>
      <c r="J146" s="8" t="str">
        <f t="shared" si="14"/>
        <v>Kuning (Sedang)</v>
      </c>
    </row>
    <row r="147" spans="1:10" ht="15" customHeight="1" x14ac:dyDescent="0.35">
      <c r="A147" s="6">
        <v>145</v>
      </c>
      <c r="B147" s="6">
        <v>11</v>
      </c>
      <c r="C147" s="6">
        <v>1413</v>
      </c>
      <c r="D147" s="7">
        <v>672.79413611049597</v>
      </c>
      <c r="E147" s="7">
        <f t="shared" si="10"/>
        <v>19.497714224123264</v>
      </c>
      <c r="F147" s="7">
        <f t="shared" si="11"/>
        <v>35.03125</v>
      </c>
      <c r="G147" s="7">
        <f t="shared" si="12"/>
        <v>61.952941176470588</v>
      </c>
      <c r="H147" s="7">
        <f>E147*'AHP Bobot'!$B$29 + F147*'AHP Bobot'!$B$30 + G147*'AHP Bobot'!$B$31</f>
        <v>31.068531870475397</v>
      </c>
      <c r="I147" s="6">
        <f t="shared" si="13"/>
        <v>183</v>
      </c>
      <c r="J147" s="8" t="str">
        <f t="shared" si="14"/>
        <v>Kuning (Sedang)</v>
      </c>
    </row>
    <row r="148" spans="1:10" ht="15" customHeight="1" x14ac:dyDescent="0.35">
      <c r="A148" s="6">
        <v>146</v>
      </c>
      <c r="B148" s="6">
        <v>8</v>
      </c>
      <c r="C148" s="6">
        <v>1413</v>
      </c>
      <c r="D148" s="7">
        <v>652.64152164397501</v>
      </c>
      <c r="E148" s="7">
        <f t="shared" si="10"/>
        <v>18.363821810648865</v>
      </c>
      <c r="F148" s="7">
        <f t="shared" si="11"/>
        <v>25.75</v>
      </c>
      <c r="G148" s="7">
        <f t="shared" si="12"/>
        <v>61.952941176470588</v>
      </c>
      <c r="H148" s="7">
        <f>E148*'AHP Bobot'!$B$29 + F148*'AHP Bobot'!$B$30 + G148*'AHP Bobot'!$B$31</f>
        <v>27.698479465810621</v>
      </c>
      <c r="I148" s="6">
        <f t="shared" si="13"/>
        <v>216</v>
      </c>
      <c r="J148" s="8" t="str">
        <f t="shared" si="14"/>
        <v>Kuning (Sedang)</v>
      </c>
    </row>
    <row r="149" spans="1:10" ht="15" customHeight="1" x14ac:dyDescent="0.35">
      <c r="A149" s="6">
        <v>147</v>
      </c>
      <c r="B149" s="6">
        <v>14</v>
      </c>
      <c r="C149" s="6">
        <v>1395</v>
      </c>
      <c r="D149" s="7">
        <v>618.49846810682197</v>
      </c>
      <c r="E149" s="7">
        <f t="shared" si="10"/>
        <v>16.442753482619096</v>
      </c>
      <c r="F149" s="7">
        <f t="shared" si="11"/>
        <v>44.3125</v>
      </c>
      <c r="G149" s="7">
        <f t="shared" si="12"/>
        <v>61.17647058823529</v>
      </c>
      <c r="H149" s="7">
        <f>E149*'AHP Bobot'!$B$29 + F149*'AHP Bobot'!$B$30 + G149*'AHP Bobot'!$B$31</f>
        <v>32.053784758330352</v>
      </c>
      <c r="I149" s="6">
        <f t="shared" si="13"/>
        <v>177</v>
      </c>
      <c r="J149" s="8" t="str">
        <f t="shared" si="14"/>
        <v>Kuning (Sedang)</v>
      </c>
    </row>
    <row r="150" spans="1:10" ht="15" customHeight="1" x14ac:dyDescent="0.35">
      <c r="A150" s="6">
        <v>148</v>
      </c>
      <c r="B150" s="6">
        <v>9</v>
      </c>
      <c r="C150" s="6">
        <v>1393</v>
      </c>
      <c r="D150" s="7">
        <v>670.52693446703404</v>
      </c>
      <c r="E150" s="7">
        <f t="shared" si="10"/>
        <v>19.370149498086899</v>
      </c>
      <c r="F150" s="7">
        <f t="shared" si="11"/>
        <v>28.84375</v>
      </c>
      <c r="G150" s="7">
        <f t="shared" si="12"/>
        <v>61.090196078431376</v>
      </c>
      <c r="H150" s="7">
        <f>E150*'AHP Bobot'!$B$29 + F150*'AHP Bobot'!$B$30 + G150*'AHP Bobot'!$B$31</f>
        <v>29.019192774079968</v>
      </c>
      <c r="I150" s="6">
        <f t="shared" si="13"/>
        <v>206</v>
      </c>
      <c r="J150" s="8" t="str">
        <f t="shared" si="14"/>
        <v>Kuning (Sedang)</v>
      </c>
    </row>
    <row r="151" spans="1:10" ht="15" customHeight="1" x14ac:dyDescent="0.35">
      <c r="A151" s="6">
        <v>149</v>
      </c>
      <c r="B151" s="6">
        <v>16</v>
      </c>
      <c r="C151" s="6">
        <v>1393</v>
      </c>
      <c r="D151" s="7">
        <v>687.69677353148404</v>
      </c>
      <c r="E151" s="7">
        <f t="shared" si="10"/>
        <v>20.336215230555467</v>
      </c>
      <c r="F151" s="7">
        <f t="shared" si="11"/>
        <v>50.5</v>
      </c>
      <c r="G151" s="7">
        <f t="shared" si="12"/>
        <v>61.090196078431376</v>
      </c>
      <c r="H151" s="7">
        <f>E151*'AHP Bobot'!$B$29 + F151*'AHP Bobot'!$B$30 + G151*'AHP Bobot'!$B$31</f>
        <v>35.977364564955884</v>
      </c>
      <c r="I151" s="6">
        <f t="shared" si="13"/>
        <v>137</v>
      </c>
      <c r="J151" s="8" t="str">
        <f t="shared" si="14"/>
        <v>Oranye (Besar)</v>
      </c>
    </row>
    <row r="152" spans="1:10" ht="15" customHeight="1" x14ac:dyDescent="0.35">
      <c r="A152" s="6">
        <v>150</v>
      </c>
      <c r="B152" s="6">
        <v>3</v>
      </c>
      <c r="C152" s="6">
        <v>1254</v>
      </c>
      <c r="D152" s="7">
        <v>699.57334740010799</v>
      </c>
      <c r="E152" s="7">
        <f t="shared" si="10"/>
        <v>21.004453936261513</v>
      </c>
      <c r="F152" s="7">
        <f t="shared" si="11"/>
        <v>10.28125</v>
      </c>
      <c r="G152" s="7">
        <f t="shared" si="12"/>
        <v>55.094117647058816</v>
      </c>
      <c r="H152" s="7">
        <f>E152*'AHP Bobot'!$B$29 + F152*'AHP Bobot'!$B$30 + G152*'AHP Bobot'!$B$31</f>
        <v>23.400120343628934</v>
      </c>
      <c r="I152" s="6">
        <f t="shared" si="13"/>
        <v>257</v>
      </c>
      <c r="J152" s="8" t="str">
        <f t="shared" si="14"/>
        <v>Hijau (Rendah)</v>
      </c>
    </row>
    <row r="153" spans="1:10" ht="15" customHeight="1" x14ac:dyDescent="0.35">
      <c r="A153" s="6">
        <v>151</v>
      </c>
      <c r="B153" s="6">
        <v>2</v>
      </c>
      <c r="C153" s="6">
        <v>913</v>
      </c>
      <c r="D153" s="7">
        <v>686.969582566182</v>
      </c>
      <c r="E153" s="7">
        <f t="shared" si="10"/>
        <v>20.295299630245992</v>
      </c>
      <c r="F153" s="7">
        <f t="shared" si="11"/>
        <v>7.1875</v>
      </c>
      <c r="G153" s="7">
        <f t="shared" si="12"/>
        <v>40.384313725490195</v>
      </c>
      <c r="H153" s="7">
        <f>E153*'AHP Bobot'!$B$29 + F153*'AHP Bobot'!$B$30 + G153*'AHP Bobot'!$B$31</f>
        <v>19.68908949457434</v>
      </c>
      <c r="I153" s="6">
        <f t="shared" si="13"/>
        <v>295</v>
      </c>
      <c r="J153" s="8" t="str">
        <f t="shared" si="14"/>
        <v>Hijau (Rendah)</v>
      </c>
    </row>
    <row r="154" spans="1:10" ht="15" customHeight="1" x14ac:dyDescent="0.35">
      <c r="A154" s="6">
        <v>152</v>
      </c>
      <c r="B154" s="6">
        <v>8</v>
      </c>
      <c r="C154" s="6">
        <v>913</v>
      </c>
      <c r="D154" s="7">
        <v>653.04706252430401</v>
      </c>
      <c r="E154" s="7">
        <f t="shared" si="10"/>
        <v>18.386639680177542</v>
      </c>
      <c r="F154" s="7">
        <f t="shared" si="11"/>
        <v>25.75</v>
      </c>
      <c r="G154" s="7">
        <f t="shared" si="12"/>
        <v>40.384313725490195</v>
      </c>
      <c r="H154" s="7">
        <f>E154*'AHP Bobot'!$B$29 + F154*'AHP Bobot'!$B$30 + G154*'AHP Bobot'!$B$31</f>
        <v>24.178253287719265</v>
      </c>
      <c r="I154" s="6">
        <f t="shared" si="13"/>
        <v>247</v>
      </c>
      <c r="J154" s="8" t="str">
        <f t="shared" si="14"/>
        <v>Hijau (Rendah)</v>
      </c>
    </row>
    <row r="155" spans="1:10" ht="15" customHeight="1" x14ac:dyDescent="0.35">
      <c r="A155" s="6">
        <v>153</v>
      </c>
      <c r="B155" s="6">
        <v>12</v>
      </c>
      <c r="C155" s="6">
        <v>913</v>
      </c>
      <c r="D155" s="7">
        <v>595.12142759557696</v>
      </c>
      <c r="E155" s="7">
        <f t="shared" si="10"/>
        <v>15.127437848053674</v>
      </c>
      <c r="F155" s="7">
        <f t="shared" si="11"/>
        <v>38.125</v>
      </c>
      <c r="G155" s="7">
        <f t="shared" si="12"/>
        <v>40.384313725490195</v>
      </c>
      <c r="H155" s="7">
        <f>E155*'AHP Bobot'!$B$29 + F155*'AHP Bobot'!$B$30 + G155*'AHP Bobot'!$B$31</f>
        <v>26.100241910665492</v>
      </c>
      <c r="I155" s="6">
        <f t="shared" si="13"/>
        <v>232</v>
      </c>
      <c r="J155" s="8" t="str">
        <f t="shared" si="14"/>
        <v>Hijau (Rendah)</v>
      </c>
    </row>
    <row r="156" spans="1:10" ht="15" customHeight="1" x14ac:dyDescent="0.35">
      <c r="A156" s="6">
        <v>154</v>
      </c>
      <c r="B156" s="6">
        <v>16</v>
      </c>
      <c r="C156" s="6">
        <v>913</v>
      </c>
      <c r="D156" s="7">
        <v>544.46480218533497</v>
      </c>
      <c r="E156" s="7">
        <f t="shared" si="10"/>
        <v>12.277228842154717</v>
      </c>
      <c r="F156" s="7">
        <f t="shared" si="11"/>
        <v>50.5</v>
      </c>
      <c r="G156" s="7">
        <f t="shared" si="12"/>
        <v>40.384313725490195</v>
      </c>
      <c r="H156" s="7">
        <f>E156*'AHP Bobot'!$B$29 + F156*'AHP Bobot'!$B$30 + G156*'AHP Bobot'!$B$31</f>
        <v>28.242661732161508</v>
      </c>
      <c r="I156" s="6">
        <f t="shared" si="13"/>
        <v>212</v>
      </c>
      <c r="J156" s="8" t="str">
        <f t="shared" si="14"/>
        <v>Kuning (Sedang)</v>
      </c>
    </row>
    <row r="157" spans="1:10" ht="15" customHeight="1" x14ac:dyDescent="0.35">
      <c r="A157" s="6">
        <v>155</v>
      </c>
      <c r="B157" s="6">
        <v>5</v>
      </c>
      <c r="C157" s="6">
        <v>1155</v>
      </c>
      <c r="D157" s="7">
        <v>555.36764315227003</v>
      </c>
      <c r="E157" s="7">
        <f t="shared" si="10"/>
        <v>12.890680197474557</v>
      </c>
      <c r="F157" s="7">
        <f t="shared" si="11"/>
        <v>16.46875</v>
      </c>
      <c r="G157" s="7">
        <f t="shared" si="12"/>
        <v>50.823529411764703</v>
      </c>
      <c r="H157" s="7">
        <f>E157*'AHP Bobot'!$B$29 + F157*'AHP Bobot'!$B$30 + G157*'AHP Bobot'!$B$31</f>
        <v>20.16695835785287</v>
      </c>
      <c r="I157" s="6">
        <f t="shared" si="13"/>
        <v>290</v>
      </c>
      <c r="J157" s="8" t="str">
        <f t="shared" si="14"/>
        <v>Hijau (Rendah)</v>
      </c>
    </row>
    <row r="158" spans="1:10" ht="15" customHeight="1" x14ac:dyDescent="0.35">
      <c r="A158" s="6">
        <v>156</v>
      </c>
      <c r="B158" s="6">
        <v>12</v>
      </c>
      <c r="C158" s="6">
        <v>1248</v>
      </c>
      <c r="D158" s="7">
        <v>526.26398971253798</v>
      </c>
      <c r="E158" s="7">
        <f t="shared" si="10"/>
        <v>11.253155106399007</v>
      </c>
      <c r="F158" s="7">
        <f t="shared" si="11"/>
        <v>38.125</v>
      </c>
      <c r="G158" s="7">
        <f t="shared" si="12"/>
        <v>54.835294117647052</v>
      </c>
      <c r="H158" s="7">
        <f>E158*'AHP Bobot'!$B$29 + F158*'AHP Bobot'!$B$30 + G158*'AHP Bobot'!$B$31</f>
        <v>26.378945619903277</v>
      </c>
      <c r="I158" s="6">
        <f t="shared" si="13"/>
        <v>231</v>
      </c>
      <c r="J158" s="8" t="str">
        <f t="shared" si="14"/>
        <v>Hijau (Rendah)</v>
      </c>
    </row>
    <row r="159" spans="1:10" ht="15" customHeight="1" x14ac:dyDescent="0.35">
      <c r="A159" s="6">
        <v>157</v>
      </c>
      <c r="B159" s="6">
        <v>10</v>
      </c>
      <c r="C159" s="6">
        <v>968</v>
      </c>
      <c r="D159" s="7">
        <v>421.71013335687798</v>
      </c>
      <c r="E159" s="7">
        <f t="shared" si="10"/>
        <v>5.3704035300155324</v>
      </c>
      <c r="F159" s="7">
        <f t="shared" si="11"/>
        <v>31.9375</v>
      </c>
      <c r="G159" s="7">
        <f t="shared" si="12"/>
        <v>42.75686274509804</v>
      </c>
      <c r="H159" s="7">
        <f>E159*'AHP Bobot'!$B$29 + F159*'AHP Bobot'!$B$30 + G159*'AHP Bobot'!$B$31</f>
        <v>19.390872496434962</v>
      </c>
      <c r="I159" s="6">
        <f t="shared" si="13"/>
        <v>298</v>
      </c>
      <c r="J159" s="8" t="str">
        <f t="shared" si="14"/>
        <v>Hijau (Rendah)</v>
      </c>
    </row>
    <row r="160" spans="1:10" ht="15" customHeight="1" x14ac:dyDescent="0.35">
      <c r="A160" s="6">
        <v>158</v>
      </c>
      <c r="B160" s="6">
        <v>14</v>
      </c>
      <c r="C160" s="6">
        <v>1546</v>
      </c>
      <c r="D160" s="7">
        <v>686.75686852640695</v>
      </c>
      <c r="E160" s="7">
        <f t="shared" si="10"/>
        <v>20.283331216105925</v>
      </c>
      <c r="F160" s="7">
        <f t="shared" si="11"/>
        <v>44.3125</v>
      </c>
      <c r="G160" s="7">
        <f t="shared" si="12"/>
        <v>67.69019607843137</v>
      </c>
      <c r="H160" s="7">
        <f>E160*'AHP Bobot'!$B$29 + F160*'AHP Bobot'!$B$30 + G160*'AHP Bobot'!$B$31</f>
        <v>35.190528808250392</v>
      </c>
      <c r="I160" s="6">
        <f t="shared" si="13"/>
        <v>144</v>
      </c>
      <c r="J160" s="8" t="str">
        <f t="shared" si="14"/>
        <v>Oranye (Besar)</v>
      </c>
    </row>
    <row r="161" spans="1:10" ht="15" customHeight="1" x14ac:dyDescent="0.35">
      <c r="A161" s="6">
        <v>159</v>
      </c>
      <c r="B161" s="6">
        <v>12</v>
      </c>
      <c r="C161" s="6">
        <v>1688</v>
      </c>
      <c r="D161" s="7">
        <v>609.08606528871098</v>
      </c>
      <c r="E161" s="7">
        <f t="shared" si="10"/>
        <v>15.913162040984997</v>
      </c>
      <c r="F161" s="7">
        <f t="shared" si="11"/>
        <v>38.125</v>
      </c>
      <c r="G161" s="7">
        <f t="shared" si="12"/>
        <v>73.815686274509801</v>
      </c>
      <c r="H161" s="7">
        <f>E161*'AHP Bobot'!$B$29 + F161*'AHP Bobot'!$B$30 + G161*'AHP Bobot'!$B$31</f>
        <v>31.999129025201672</v>
      </c>
      <c r="I161" s="6">
        <f t="shared" si="13"/>
        <v>178</v>
      </c>
      <c r="J161" s="8" t="str">
        <f t="shared" si="14"/>
        <v>Kuning (Sedang)</v>
      </c>
    </row>
    <row r="162" spans="1:10" ht="15" customHeight="1" x14ac:dyDescent="0.35">
      <c r="A162" s="6">
        <v>160</v>
      </c>
      <c r="B162" s="6">
        <v>8</v>
      </c>
      <c r="C162" s="6">
        <v>1705</v>
      </c>
      <c r="D162" s="7">
        <v>641.41218182708803</v>
      </c>
      <c r="E162" s="7">
        <f t="shared" si="10"/>
        <v>17.731999907448817</v>
      </c>
      <c r="F162" s="7">
        <f t="shared" si="11"/>
        <v>25.75</v>
      </c>
      <c r="G162" s="7">
        <f t="shared" si="12"/>
        <v>74.549019607843135</v>
      </c>
      <c r="H162" s="7">
        <f>E162*'AHP Bobot'!$B$29 + F162*'AHP Bobot'!$B$30 + G162*'AHP Bobot'!$B$31</f>
        <v>29.420946162947086</v>
      </c>
      <c r="I162" s="6">
        <f t="shared" si="13"/>
        <v>200</v>
      </c>
      <c r="J162" s="8" t="str">
        <f t="shared" si="14"/>
        <v>Kuning (Sedang)</v>
      </c>
    </row>
    <row r="163" spans="1:10" ht="15" customHeight="1" x14ac:dyDescent="0.35">
      <c r="A163" s="6">
        <v>161</v>
      </c>
      <c r="B163" s="6">
        <v>15</v>
      </c>
      <c r="C163" s="6">
        <v>1797</v>
      </c>
      <c r="D163" s="7">
        <v>614.501366302257</v>
      </c>
      <c r="E163" s="7">
        <f t="shared" si="10"/>
        <v>16.217855446703688</v>
      </c>
      <c r="F163" s="7">
        <f t="shared" si="11"/>
        <v>47.40625</v>
      </c>
      <c r="G163" s="7">
        <f t="shared" si="12"/>
        <v>78.517647058823528</v>
      </c>
      <c r="H163" s="7">
        <f>E163*'AHP Bobot'!$B$29 + F163*'AHP Bobot'!$B$30 + G163*'AHP Bobot'!$B$31</f>
        <v>35.692365729466516</v>
      </c>
      <c r="I163" s="6">
        <f t="shared" si="13"/>
        <v>141</v>
      </c>
      <c r="J163" s="8" t="str">
        <f t="shared" si="14"/>
        <v>Oranye (Besar)</v>
      </c>
    </row>
    <row r="164" spans="1:10" ht="15" customHeight="1" x14ac:dyDescent="0.35">
      <c r="A164" s="6">
        <v>162</v>
      </c>
      <c r="B164" s="6">
        <v>18</v>
      </c>
      <c r="C164" s="6">
        <v>1413</v>
      </c>
      <c r="D164" s="7">
        <v>713.53836643865498</v>
      </c>
      <c r="E164" s="7">
        <f t="shared" si="10"/>
        <v>21.790199585697717</v>
      </c>
      <c r="F164" s="7">
        <f t="shared" si="11"/>
        <v>56.6875</v>
      </c>
      <c r="G164" s="7">
        <f t="shared" si="12"/>
        <v>61.952941176470588</v>
      </c>
      <c r="H164" s="7">
        <f>E164*'AHP Bobot'!$B$29 + F164*'AHP Bobot'!$B$30 + G164*'AHP Bobot'!$B$31</f>
        <v>38.741592162752539</v>
      </c>
      <c r="I164" s="6">
        <f t="shared" si="13"/>
        <v>116</v>
      </c>
      <c r="J164" s="8" t="str">
        <f t="shared" si="14"/>
        <v>Oranye (Besar)</v>
      </c>
    </row>
    <row r="165" spans="1:10" ht="15" customHeight="1" x14ac:dyDescent="0.35">
      <c r="A165" s="6">
        <v>163</v>
      </c>
      <c r="B165" s="6">
        <v>6</v>
      </c>
      <c r="C165" s="6">
        <v>1413</v>
      </c>
      <c r="D165" s="7">
        <v>774.42255343223098</v>
      </c>
      <c r="E165" s="7">
        <f t="shared" si="10"/>
        <v>25.215865166074906</v>
      </c>
      <c r="F165" s="7">
        <f t="shared" si="11"/>
        <v>19.5625</v>
      </c>
      <c r="G165" s="7">
        <f t="shared" si="12"/>
        <v>61.952941176470588</v>
      </c>
      <c r="H165" s="7">
        <f>E165*'AHP Bobot'!$B$29 + F165*'AHP Bobot'!$B$30 + G165*'AHP Bobot'!$B$31</f>
        <v>29.552178157371415</v>
      </c>
      <c r="I165" s="6">
        <f t="shared" si="13"/>
        <v>198</v>
      </c>
      <c r="J165" s="8" t="str">
        <f t="shared" si="14"/>
        <v>Kuning (Sedang)</v>
      </c>
    </row>
    <row r="166" spans="1:10" ht="15" customHeight="1" x14ac:dyDescent="0.35">
      <c r="A166" s="6">
        <v>164</v>
      </c>
      <c r="B166" s="6">
        <v>8</v>
      </c>
      <c r="C166" s="6">
        <v>1413</v>
      </c>
      <c r="D166" s="7">
        <v>763.17283712237895</v>
      </c>
      <c r="E166" s="7">
        <f t="shared" si="10"/>
        <v>24.582896773875895</v>
      </c>
      <c r="F166" s="7">
        <f t="shared" si="11"/>
        <v>25.75</v>
      </c>
      <c r="G166" s="7">
        <f t="shared" si="12"/>
        <v>61.952941176470588</v>
      </c>
      <c r="H166" s="7">
        <f>E166*'AHP Bobot'!$B$29 + F166*'AHP Bobot'!$B$30 + G166*'AHP Bobot'!$B$31</f>
        <v>31.050318569368052</v>
      </c>
      <c r="I166" s="6">
        <f t="shared" si="13"/>
        <v>184</v>
      </c>
      <c r="J166" s="8" t="str">
        <f t="shared" si="14"/>
        <v>Kuning (Sedang)</v>
      </c>
    </row>
    <row r="167" spans="1:10" ht="15" customHeight="1" x14ac:dyDescent="0.35">
      <c r="A167" s="6">
        <v>165</v>
      </c>
      <c r="B167" s="6">
        <v>15</v>
      </c>
      <c r="C167" s="6">
        <v>1411</v>
      </c>
      <c r="D167" s="7">
        <v>648.00126972562998</v>
      </c>
      <c r="E167" s="7">
        <f t="shared" si="10"/>
        <v>18.102736756123445</v>
      </c>
      <c r="F167" s="7">
        <f t="shared" si="11"/>
        <v>47.40625</v>
      </c>
      <c r="G167" s="7">
        <f t="shared" si="12"/>
        <v>61.866666666666667</v>
      </c>
      <c r="H167" s="7">
        <f>E167*'AHP Bobot'!$B$29 + F167*'AHP Bobot'!$B$30 + G167*'AHP Bobot'!$B$31</f>
        <v>33.981134697083363</v>
      </c>
      <c r="I167" s="6">
        <f t="shared" si="13"/>
        <v>157</v>
      </c>
      <c r="J167" s="8" t="str">
        <f t="shared" si="14"/>
        <v>Kuning (Sedang)</v>
      </c>
    </row>
    <row r="168" spans="1:10" ht="15" customHeight="1" x14ac:dyDescent="0.35">
      <c r="A168" s="6">
        <v>166</v>
      </c>
      <c r="B168" s="6">
        <v>11</v>
      </c>
      <c r="C168" s="6">
        <v>1404</v>
      </c>
      <c r="D168" s="7">
        <v>727.79234918782095</v>
      </c>
      <c r="E168" s="7">
        <f t="shared" si="10"/>
        <v>22.592203858042851</v>
      </c>
      <c r="F168" s="7">
        <f t="shared" si="11"/>
        <v>35.03125</v>
      </c>
      <c r="G168" s="7">
        <f t="shared" si="12"/>
        <v>61.564705882352946</v>
      </c>
      <c r="H168" s="7">
        <f>E168*'AHP Bobot'!$B$29 + F168*'AHP Bobot'!$B$30 + G168*'AHP Bobot'!$B$31</f>
        <v>32.672755784453194</v>
      </c>
      <c r="I168" s="6">
        <f t="shared" si="13"/>
        <v>168</v>
      </c>
      <c r="J168" s="8" t="str">
        <f t="shared" si="14"/>
        <v>Kuning (Sedang)</v>
      </c>
    </row>
    <row r="169" spans="1:10" ht="15" customHeight="1" x14ac:dyDescent="0.35">
      <c r="A169" s="6">
        <v>167</v>
      </c>
      <c r="B169" s="6">
        <v>5</v>
      </c>
      <c r="C169" s="6">
        <v>1396</v>
      </c>
      <c r="D169" s="7">
        <v>782.97251964935799</v>
      </c>
      <c r="E169" s="7">
        <f t="shared" si="10"/>
        <v>25.696931374390871</v>
      </c>
      <c r="F169" s="7">
        <f t="shared" si="11"/>
        <v>16.46875</v>
      </c>
      <c r="G169" s="7">
        <f t="shared" si="12"/>
        <v>61.219607843137254</v>
      </c>
      <c r="H169" s="7">
        <f>E169*'AHP Bobot'!$B$29 + F169*'AHP Bobot'!$B$30 + G169*'AHP Bobot'!$B$31</f>
        <v>28.771705423565756</v>
      </c>
      <c r="I169" s="6">
        <f t="shared" si="13"/>
        <v>207</v>
      </c>
      <c r="J169" s="8" t="str">
        <f t="shared" si="14"/>
        <v>Kuning (Sedang)</v>
      </c>
    </row>
    <row r="170" spans="1:10" ht="15" customHeight="1" x14ac:dyDescent="0.35">
      <c r="A170" s="6">
        <v>168</v>
      </c>
      <c r="B170" s="6">
        <v>18</v>
      </c>
      <c r="C170" s="6">
        <v>1374</v>
      </c>
      <c r="D170" s="7">
        <v>786.52006388819495</v>
      </c>
      <c r="E170" s="7">
        <f t="shared" si="10"/>
        <v>25.896534929828533</v>
      </c>
      <c r="F170" s="7">
        <f t="shared" si="11"/>
        <v>56.6875</v>
      </c>
      <c r="G170" s="7">
        <f t="shared" si="12"/>
        <v>60.270588235294113</v>
      </c>
      <c r="H170" s="7">
        <f>E170*'AHP Bobot'!$B$29 + F170*'AHP Bobot'!$B$30 + G170*'AHP Bobot'!$B$31</f>
        <v>40.679210044728485</v>
      </c>
      <c r="I170" s="6">
        <f t="shared" si="13"/>
        <v>104</v>
      </c>
      <c r="J170" s="8" t="str">
        <f t="shared" si="14"/>
        <v>Oranye (Besar)</v>
      </c>
    </row>
    <row r="171" spans="1:10" ht="15" customHeight="1" x14ac:dyDescent="0.35">
      <c r="A171" s="6">
        <v>169</v>
      </c>
      <c r="B171" s="6">
        <v>6</v>
      </c>
      <c r="C171" s="6">
        <v>913</v>
      </c>
      <c r="D171" s="7">
        <v>774.25126663679896</v>
      </c>
      <c r="E171" s="7">
        <f t="shared" si="10"/>
        <v>25.206227667268418</v>
      </c>
      <c r="F171" s="7">
        <f t="shared" si="11"/>
        <v>19.5625</v>
      </c>
      <c r="G171" s="7">
        <f t="shared" si="12"/>
        <v>40.384313725490195</v>
      </c>
      <c r="H171" s="7">
        <f>E171*'AHP Bobot'!$B$29 + F171*'AHP Bobot'!$B$30 + G171*'AHP Bobot'!$B$31</f>
        <v>26.014459800242271</v>
      </c>
      <c r="I171" s="6">
        <f t="shared" si="13"/>
        <v>233</v>
      </c>
      <c r="J171" s="8" t="str">
        <f t="shared" si="14"/>
        <v>Hijau (Rendah)</v>
      </c>
    </row>
    <row r="172" spans="1:10" ht="15" customHeight="1" x14ac:dyDescent="0.35">
      <c r="A172" s="6">
        <v>170</v>
      </c>
      <c r="B172" s="6">
        <v>2</v>
      </c>
      <c r="C172" s="6">
        <v>913</v>
      </c>
      <c r="D172" s="7">
        <v>746.04681548682004</v>
      </c>
      <c r="E172" s="7">
        <f t="shared" si="10"/>
        <v>23.619296441134004</v>
      </c>
      <c r="F172" s="7">
        <f t="shared" si="11"/>
        <v>7.1875</v>
      </c>
      <c r="G172" s="7">
        <f t="shared" si="12"/>
        <v>40.384313725490195</v>
      </c>
      <c r="H172" s="7">
        <f>E172*'AHP Bobot'!$B$29 + F172*'AHP Bobot'!$B$30 + G172*'AHP Bobot'!$B$31</f>
        <v>21.48059426927372</v>
      </c>
      <c r="I172" s="6">
        <f t="shared" si="13"/>
        <v>275</v>
      </c>
      <c r="J172" s="8" t="str">
        <f t="shared" si="14"/>
        <v>Hijau (Rendah)</v>
      </c>
    </row>
    <row r="173" spans="1:10" ht="15" customHeight="1" x14ac:dyDescent="0.35">
      <c r="A173" s="6">
        <v>171</v>
      </c>
      <c r="B173" s="6">
        <v>11</v>
      </c>
      <c r="C173" s="6">
        <v>913</v>
      </c>
      <c r="D173" s="7">
        <v>705.14886636370295</v>
      </c>
      <c r="E173" s="7">
        <f t="shared" si="10"/>
        <v>21.318162049147094</v>
      </c>
      <c r="F173" s="7">
        <f t="shared" si="11"/>
        <v>35.03125</v>
      </c>
      <c r="G173" s="7">
        <f t="shared" si="12"/>
        <v>40.384313725490195</v>
      </c>
      <c r="H173" s="7">
        <f>E173*'AHP Bobot'!$B$29 + F173*'AHP Bobot'!$B$30 + G173*'AHP Bobot'!$B$31</f>
        <v>28.51715820086519</v>
      </c>
      <c r="I173" s="6">
        <f t="shared" si="13"/>
        <v>208</v>
      </c>
      <c r="J173" s="8" t="str">
        <f t="shared" si="14"/>
        <v>Kuning (Sedang)</v>
      </c>
    </row>
    <row r="174" spans="1:10" ht="15" customHeight="1" x14ac:dyDescent="0.35">
      <c r="A174" s="6">
        <v>172</v>
      </c>
      <c r="B174" s="6">
        <v>11</v>
      </c>
      <c r="C174" s="6">
        <v>913</v>
      </c>
      <c r="D174" s="7">
        <v>656.955691118441</v>
      </c>
      <c r="E174" s="7">
        <f t="shared" si="10"/>
        <v>18.606559746496664</v>
      </c>
      <c r="F174" s="7">
        <f t="shared" si="11"/>
        <v>35.03125</v>
      </c>
      <c r="G174" s="7">
        <f t="shared" si="12"/>
        <v>40.384313725490195</v>
      </c>
      <c r="H174" s="7">
        <f>E174*'AHP Bobot'!$B$29 + F174*'AHP Bobot'!$B$30 + G174*'AHP Bobot'!$B$31</f>
        <v>27.055710206579569</v>
      </c>
      <c r="I174" s="6">
        <f t="shared" si="13"/>
        <v>223</v>
      </c>
      <c r="J174" s="8" t="str">
        <f t="shared" si="14"/>
        <v>Kuning (Sedang)</v>
      </c>
    </row>
    <row r="175" spans="1:10" ht="15" customHeight="1" x14ac:dyDescent="0.35">
      <c r="A175" s="6">
        <v>173</v>
      </c>
      <c r="B175" s="6">
        <v>12</v>
      </c>
      <c r="C175" s="6">
        <v>913</v>
      </c>
      <c r="D175" s="7">
        <v>617.64690830482402</v>
      </c>
      <c r="E175" s="7">
        <f t="shared" si="10"/>
        <v>16.394840235397041</v>
      </c>
      <c r="F175" s="7">
        <f t="shared" si="11"/>
        <v>38.125</v>
      </c>
      <c r="G175" s="7">
        <f t="shared" si="12"/>
        <v>40.384313725490195</v>
      </c>
      <c r="H175" s="7">
        <f>E175*'AHP Bobot'!$B$29 + F175*'AHP Bobot'!$B$30 + G175*'AHP Bobot'!$B$31</f>
        <v>26.783322418129774</v>
      </c>
      <c r="I175" s="6">
        <f t="shared" si="13"/>
        <v>225</v>
      </c>
      <c r="J175" s="8" t="str">
        <f t="shared" si="14"/>
        <v>Kuning (Sedang)</v>
      </c>
    </row>
    <row r="176" spans="1:10" ht="15" customHeight="1" x14ac:dyDescent="0.35">
      <c r="A176" s="6">
        <v>174</v>
      </c>
      <c r="B176" s="6">
        <v>0</v>
      </c>
      <c r="C176" s="6">
        <v>1134</v>
      </c>
      <c r="D176" s="7">
        <v>590.77274648095397</v>
      </c>
      <c r="E176" s="7">
        <f t="shared" si="10"/>
        <v>14.88275810524998</v>
      </c>
      <c r="F176" s="7">
        <f t="shared" si="11"/>
        <v>1</v>
      </c>
      <c r="G176" s="7">
        <f t="shared" si="12"/>
        <v>49.917647058823533</v>
      </c>
      <c r="H176" s="7">
        <f>E176*'AHP Bobot'!$B$29 + F176*'AHP Bobot'!$B$30 + G176*'AHP Bobot'!$B$31</f>
        <v>16.494030437932668</v>
      </c>
      <c r="I176" s="6">
        <f t="shared" si="13"/>
        <v>327</v>
      </c>
      <c r="J176" s="8" t="str">
        <f t="shared" si="14"/>
        <v>Hijau Muda (Sangat Rendah)</v>
      </c>
    </row>
    <row r="177" spans="1:10" ht="15" customHeight="1" x14ac:dyDescent="0.35">
      <c r="A177" s="6">
        <v>175</v>
      </c>
      <c r="B177" s="6">
        <v>6</v>
      </c>
      <c r="C177" s="6">
        <v>1248</v>
      </c>
      <c r="D177" s="7">
        <v>539.14931210066902</v>
      </c>
      <c r="E177" s="7">
        <f t="shared" si="10"/>
        <v>11.978151325889325</v>
      </c>
      <c r="F177" s="7">
        <f t="shared" si="11"/>
        <v>19.5625</v>
      </c>
      <c r="G177" s="7">
        <f t="shared" si="12"/>
        <v>54.835294117647052</v>
      </c>
      <c r="H177" s="7">
        <f>E177*'AHP Bobot'!$B$29 + F177*'AHP Bobot'!$B$30 + G177*'AHP Bobot'!$B$31</f>
        <v>21.251833192745458</v>
      </c>
      <c r="I177" s="6">
        <f t="shared" si="13"/>
        <v>278</v>
      </c>
      <c r="J177" s="8" t="str">
        <f t="shared" si="14"/>
        <v>Hijau (Rendah)</v>
      </c>
    </row>
    <row r="178" spans="1:10" ht="15" customHeight="1" x14ac:dyDescent="0.35">
      <c r="A178" s="6">
        <v>176</v>
      </c>
      <c r="B178" s="6">
        <v>1</v>
      </c>
      <c r="C178" s="6">
        <v>261</v>
      </c>
      <c r="D178" s="7">
        <v>512.08253049971802</v>
      </c>
      <c r="E178" s="7">
        <f t="shared" si="10"/>
        <v>10.455231390837097</v>
      </c>
      <c r="F178" s="7">
        <f t="shared" si="11"/>
        <v>4.09375</v>
      </c>
      <c r="G178" s="7">
        <f t="shared" si="12"/>
        <v>12.258823529411764</v>
      </c>
      <c r="H178" s="7">
        <f>E178*'AHP Bobot'!$B$29 + F178*'AHP Bobot'!$B$30 + G178*'AHP Bobot'!$B$31</f>
        <v>8.859621782201863</v>
      </c>
      <c r="I178" s="6">
        <f t="shared" si="13"/>
        <v>369</v>
      </c>
      <c r="J178" s="8" t="str">
        <f t="shared" si="14"/>
        <v>Hijau Muda (Sangat Rendah)</v>
      </c>
    </row>
    <row r="179" spans="1:10" ht="15" customHeight="1" x14ac:dyDescent="0.35">
      <c r="A179" s="6">
        <v>177</v>
      </c>
      <c r="B179" s="6">
        <v>2</v>
      </c>
      <c r="C179" s="6">
        <v>449</v>
      </c>
      <c r="D179" s="7">
        <v>762.22361852095605</v>
      </c>
      <c r="E179" s="7">
        <f t="shared" si="10"/>
        <v>24.529488727358142</v>
      </c>
      <c r="F179" s="7">
        <f t="shared" si="11"/>
        <v>7.1875</v>
      </c>
      <c r="G179" s="7">
        <f t="shared" si="12"/>
        <v>20.368627450980394</v>
      </c>
      <c r="H179" s="7">
        <f>E179*'AHP Bobot'!$B$29 + F179*'AHP Bobot'!$B$30 + G179*'AHP Bobot'!$B$31</f>
        <v>18.692970065446669</v>
      </c>
      <c r="I179" s="6">
        <f t="shared" si="13"/>
        <v>308</v>
      </c>
      <c r="J179" s="8" t="str">
        <f t="shared" si="14"/>
        <v>Hijau Muda (Sangat Rendah)</v>
      </c>
    </row>
    <row r="180" spans="1:10" ht="15" customHeight="1" x14ac:dyDescent="0.35">
      <c r="A180" s="6">
        <v>178</v>
      </c>
      <c r="B180" s="6">
        <v>9</v>
      </c>
      <c r="C180" s="6">
        <v>1688</v>
      </c>
      <c r="D180" s="7">
        <v>717.19748783961995</v>
      </c>
      <c r="E180" s="7">
        <f t="shared" si="10"/>
        <v>21.996081060948914</v>
      </c>
      <c r="F180" s="7">
        <f t="shared" si="11"/>
        <v>28.84375</v>
      </c>
      <c r="G180" s="7">
        <f t="shared" si="12"/>
        <v>73.815686274509801</v>
      </c>
      <c r="H180" s="7">
        <f>E180*'AHP Bobot'!$B$29 + F180*'AHP Bobot'!$B$30 + G180*'AHP Bobot'!$B$31</f>
        <v>32.518656808688718</v>
      </c>
      <c r="I180" s="6">
        <f t="shared" si="13"/>
        <v>171</v>
      </c>
      <c r="J180" s="8" t="str">
        <f t="shared" si="14"/>
        <v>Kuning (Sedang)</v>
      </c>
    </row>
    <row r="181" spans="1:10" ht="15" customHeight="1" x14ac:dyDescent="0.35">
      <c r="A181" s="6">
        <v>179</v>
      </c>
      <c r="B181" s="6">
        <v>19</v>
      </c>
      <c r="C181" s="6">
        <v>1688</v>
      </c>
      <c r="D181" s="7">
        <v>695.175201652586</v>
      </c>
      <c r="E181" s="7">
        <f t="shared" si="10"/>
        <v>20.75699105223946</v>
      </c>
      <c r="F181" s="7">
        <f t="shared" si="11"/>
        <v>59.78125</v>
      </c>
      <c r="G181" s="7">
        <f t="shared" si="12"/>
        <v>73.815686274509801</v>
      </c>
      <c r="H181" s="7">
        <f>E181*'AHP Bobot'!$B$29 + F181*'AHP Bobot'!$B$30 + G181*'AHP Bobot'!$B$31</f>
        <v>41.047264141656996</v>
      </c>
      <c r="I181" s="6">
        <f t="shared" si="13"/>
        <v>103</v>
      </c>
      <c r="J181" s="8" t="str">
        <f t="shared" si="14"/>
        <v>Oranye (Besar)</v>
      </c>
    </row>
    <row r="182" spans="1:10" ht="15" customHeight="1" x14ac:dyDescent="0.35">
      <c r="A182" s="6">
        <v>180</v>
      </c>
      <c r="B182" s="6">
        <v>6</v>
      </c>
      <c r="C182" s="6">
        <v>1968</v>
      </c>
      <c r="D182" s="7">
        <v>732.82714007918196</v>
      </c>
      <c r="E182" s="7">
        <f t="shared" si="10"/>
        <v>22.875487756746335</v>
      </c>
      <c r="F182" s="7">
        <f t="shared" si="11"/>
        <v>19.5625</v>
      </c>
      <c r="G182" s="7">
        <f t="shared" si="12"/>
        <v>85.89411764705882</v>
      </c>
      <c r="H182" s="7">
        <f>E182*'AHP Bobot'!$B$29 + F182*'AHP Bobot'!$B$30 + G182*'AHP Bobot'!$B$31</f>
        <v>32.211907691321692</v>
      </c>
      <c r="I182" s="6">
        <f t="shared" si="13"/>
        <v>174</v>
      </c>
      <c r="J182" s="8" t="str">
        <f t="shared" si="14"/>
        <v>Kuning (Sedang)</v>
      </c>
    </row>
    <row r="183" spans="1:10" ht="15" customHeight="1" x14ac:dyDescent="0.35">
      <c r="A183" s="6">
        <v>181</v>
      </c>
      <c r="B183" s="6">
        <v>14</v>
      </c>
      <c r="C183" s="6">
        <v>1623</v>
      </c>
      <c r="D183" s="7">
        <v>778.827998897572</v>
      </c>
      <c r="E183" s="7">
        <f t="shared" si="10"/>
        <v>25.463738770734189</v>
      </c>
      <c r="F183" s="7">
        <f t="shared" si="11"/>
        <v>44.3125</v>
      </c>
      <c r="G183" s="7">
        <f t="shared" si="12"/>
        <v>71.011764705882356</v>
      </c>
      <c r="H183" s="7">
        <f>E183*'AHP Bobot'!$B$29 + F183*'AHP Bobot'!$B$30 + G183*'AHP Bobot'!$B$31</f>
        <v>38.526575360731414</v>
      </c>
      <c r="I183" s="6">
        <f t="shared" si="13"/>
        <v>120</v>
      </c>
      <c r="J183" s="8" t="str">
        <f t="shared" si="14"/>
        <v>Oranye (Besar)</v>
      </c>
    </row>
    <row r="184" spans="1:10" ht="15" customHeight="1" x14ac:dyDescent="0.35">
      <c r="A184" s="6">
        <v>182</v>
      </c>
      <c r="B184" s="6">
        <v>16</v>
      </c>
      <c r="C184" s="6">
        <v>1518</v>
      </c>
      <c r="D184" s="7">
        <v>848.616935166997</v>
      </c>
      <c r="E184" s="7">
        <f t="shared" si="10"/>
        <v>29.39043252611819</v>
      </c>
      <c r="F184" s="7">
        <f t="shared" si="11"/>
        <v>50.5</v>
      </c>
      <c r="G184" s="7">
        <f t="shared" si="12"/>
        <v>66.482352941176472</v>
      </c>
      <c r="H184" s="7">
        <f>E184*'AHP Bobot'!$B$29 + F184*'AHP Bobot'!$B$30 + G184*'AHP Bobot'!$B$31</f>
        <v>41.740365955741233</v>
      </c>
      <c r="I184" s="6">
        <f t="shared" si="13"/>
        <v>100</v>
      </c>
      <c r="J184" s="8" t="str">
        <f t="shared" si="14"/>
        <v>Oranye (Besar)</v>
      </c>
    </row>
    <row r="185" spans="1:10" ht="15" customHeight="1" x14ac:dyDescent="0.35">
      <c r="A185" s="6">
        <v>183</v>
      </c>
      <c r="B185" s="6">
        <v>7</v>
      </c>
      <c r="C185" s="6">
        <v>1413</v>
      </c>
      <c r="D185" s="7">
        <v>861.94953756800601</v>
      </c>
      <c r="E185" s="7">
        <f t="shared" si="10"/>
        <v>30.140595078946724</v>
      </c>
      <c r="F185" s="7">
        <f t="shared" si="11"/>
        <v>22.65625</v>
      </c>
      <c r="G185" s="7">
        <f t="shared" si="12"/>
        <v>61.952941176470588</v>
      </c>
      <c r="H185" s="7">
        <f>E185*'AHP Bobot'!$B$29 + F185*'AHP Bobot'!$B$30 + G185*'AHP Bobot'!$B$31</f>
        <v>33.126058564958171</v>
      </c>
      <c r="I185" s="6">
        <f t="shared" si="13"/>
        <v>164</v>
      </c>
      <c r="J185" s="8" t="str">
        <f t="shared" si="14"/>
        <v>Kuning (Sedang)</v>
      </c>
    </row>
    <row r="186" spans="1:10" ht="15" customHeight="1" x14ac:dyDescent="0.35">
      <c r="A186" s="6">
        <v>184</v>
      </c>
      <c r="B186" s="6">
        <v>14</v>
      </c>
      <c r="C186" s="6">
        <v>1413</v>
      </c>
      <c r="D186" s="7">
        <v>860.90287572373097</v>
      </c>
      <c r="E186" s="7">
        <f t="shared" si="10"/>
        <v>30.081704361483332</v>
      </c>
      <c r="F186" s="7">
        <f t="shared" si="11"/>
        <v>44.3125</v>
      </c>
      <c r="G186" s="7">
        <f t="shared" si="12"/>
        <v>61.952941176470588</v>
      </c>
      <c r="H186" s="7">
        <f>E186*'AHP Bobot'!$B$29 + F186*'AHP Bobot'!$B$30 + G186*'AHP Bobot'!$B$31</f>
        <v>39.531818762688943</v>
      </c>
      <c r="I186" s="6">
        <f t="shared" si="13"/>
        <v>113</v>
      </c>
      <c r="J186" s="8" t="str">
        <f t="shared" si="14"/>
        <v>Oranye (Besar)</v>
      </c>
    </row>
    <row r="187" spans="1:10" ht="15" customHeight="1" x14ac:dyDescent="0.35">
      <c r="A187" s="6">
        <v>185</v>
      </c>
      <c r="B187" s="6">
        <v>11</v>
      </c>
      <c r="C187" s="6">
        <v>1414</v>
      </c>
      <c r="D187" s="7">
        <v>883.41236496942304</v>
      </c>
      <c r="E187" s="7">
        <f t="shared" si="10"/>
        <v>31.348206984717404</v>
      </c>
      <c r="F187" s="7">
        <f t="shared" si="11"/>
        <v>35.03125</v>
      </c>
      <c r="G187" s="7">
        <f t="shared" si="12"/>
        <v>61.996078431372545</v>
      </c>
      <c r="H187" s="7">
        <f>E187*'AHP Bobot'!$B$29 + F187*'AHP Bobot'!$B$30 + G187*'AHP Bobot'!$B$31</f>
        <v>37.462550809167006</v>
      </c>
      <c r="I187" s="6">
        <f t="shared" si="13"/>
        <v>124</v>
      </c>
      <c r="J187" s="8" t="str">
        <f t="shared" si="14"/>
        <v>Oranye (Besar)</v>
      </c>
    </row>
    <row r="188" spans="1:10" ht="15" customHeight="1" x14ac:dyDescent="0.35">
      <c r="A188" s="6">
        <v>186</v>
      </c>
      <c r="B188" s="6">
        <v>14</v>
      </c>
      <c r="C188" s="6">
        <v>1407</v>
      </c>
      <c r="D188" s="7">
        <v>866.97236251584502</v>
      </c>
      <c r="E188" s="7">
        <f t="shared" si="10"/>
        <v>30.423205710536291</v>
      </c>
      <c r="F188" s="7">
        <f t="shared" si="11"/>
        <v>44.3125</v>
      </c>
      <c r="G188" s="7">
        <f t="shared" si="12"/>
        <v>61.694117647058825</v>
      </c>
      <c r="H188" s="7">
        <f>E188*'AHP Bobot'!$B$29 + F188*'AHP Bobot'!$B$30 + G188*'AHP Bobot'!$B$31</f>
        <v>39.673484395132007</v>
      </c>
      <c r="I188" s="6">
        <f t="shared" si="13"/>
        <v>110</v>
      </c>
      <c r="J188" s="8" t="str">
        <f t="shared" si="14"/>
        <v>Oranye (Besar)</v>
      </c>
    </row>
    <row r="189" spans="1:10" ht="15" customHeight="1" x14ac:dyDescent="0.35">
      <c r="A189" s="6">
        <v>187</v>
      </c>
      <c r="B189" s="6">
        <v>8</v>
      </c>
      <c r="C189" s="6">
        <v>1455</v>
      </c>
      <c r="D189" s="7">
        <v>860.15539119258801</v>
      </c>
      <c r="E189" s="7">
        <f t="shared" si="10"/>
        <v>30.03964693809241</v>
      </c>
      <c r="F189" s="7">
        <f t="shared" si="11"/>
        <v>25.75</v>
      </c>
      <c r="G189" s="7">
        <f t="shared" si="12"/>
        <v>63.764705882352935</v>
      </c>
      <c r="H189" s="7">
        <f>E189*'AHP Bobot'!$B$29 + F189*'AHP Bobot'!$B$30 + G189*'AHP Bobot'!$B$31</f>
        <v>34.288026333368798</v>
      </c>
      <c r="I189" s="6">
        <f t="shared" si="13"/>
        <v>155</v>
      </c>
      <c r="J189" s="8" t="str">
        <f t="shared" si="14"/>
        <v>Kuning (Sedang)</v>
      </c>
    </row>
    <row r="190" spans="1:10" ht="15" customHeight="1" x14ac:dyDescent="0.35">
      <c r="A190" s="6">
        <v>188</v>
      </c>
      <c r="B190" s="6">
        <v>9</v>
      </c>
      <c r="C190" s="6">
        <v>1323</v>
      </c>
      <c r="D190" s="7">
        <v>845.61192756613298</v>
      </c>
      <c r="E190" s="7">
        <f t="shared" si="10"/>
        <v>29.221354944312949</v>
      </c>
      <c r="F190" s="7">
        <f t="shared" si="11"/>
        <v>28.84375</v>
      </c>
      <c r="G190" s="7">
        <f t="shared" si="12"/>
        <v>58.07058823529411</v>
      </c>
      <c r="H190" s="7">
        <f>E190*'AHP Bobot'!$B$29 + F190*'AHP Bobot'!$B$30 + G190*'AHP Bobot'!$B$31</f>
        <v>33.83405531949029</v>
      </c>
      <c r="I190" s="6">
        <f t="shared" si="13"/>
        <v>158</v>
      </c>
      <c r="J190" s="8" t="str">
        <f t="shared" si="14"/>
        <v>Kuning (Sedang)</v>
      </c>
    </row>
    <row r="191" spans="1:10" ht="15" customHeight="1" x14ac:dyDescent="0.35">
      <c r="A191" s="6">
        <v>189</v>
      </c>
      <c r="B191" s="6">
        <v>8</v>
      </c>
      <c r="C191" s="6">
        <v>924</v>
      </c>
      <c r="D191" s="7">
        <v>818.34493797243999</v>
      </c>
      <c r="E191" s="7">
        <f t="shared" si="10"/>
        <v>27.687170251307649</v>
      </c>
      <c r="F191" s="7">
        <f t="shared" si="11"/>
        <v>25.75</v>
      </c>
      <c r="G191" s="7">
        <f t="shared" si="12"/>
        <v>40.858823529411765</v>
      </c>
      <c r="H191" s="7">
        <f>E191*'AHP Bobot'!$B$29 + F191*'AHP Bobot'!$B$30 + G191*'AHP Bobot'!$B$31</f>
        <v>29.268592437881154</v>
      </c>
      <c r="I191" s="6">
        <f t="shared" si="13"/>
        <v>204</v>
      </c>
      <c r="J191" s="8" t="str">
        <f t="shared" si="14"/>
        <v>Kuning (Sedang)</v>
      </c>
    </row>
    <row r="192" spans="1:10" ht="15" customHeight="1" x14ac:dyDescent="0.35">
      <c r="A192" s="6">
        <v>190</v>
      </c>
      <c r="B192" s="6">
        <v>7</v>
      </c>
      <c r="C192" s="6">
        <v>913</v>
      </c>
      <c r="D192" s="7">
        <v>779.67356745319796</v>
      </c>
      <c r="E192" s="7">
        <f t="shared" si="10"/>
        <v>25.51131491882602</v>
      </c>
      <c r="F192" s="7">
        <f t="shared" si="11"/>
        <v>22.65625</v>
      </c>
      <c r="G192" s="7">
        <f t="shared" si="12"/>
        <v>40.384313725490195</v>
      </c>
      <c r="H192" s="7">
        <f>E192*'AHP Bobot'!$B$29 + F192*'AHP Bobot'!$B$30 + G192*'AHP Bobot'!$B$31</f>
        <v>27.098532799458379</v>
      </c>
      <c r="I192" s="6">
        <f t="shared" si="13"/>
        <v>222</v>
      </c>
      <c r="J192" s="8" t="str">
        <f t="shared" si="14"/>
        <v>Kuning (Sedang)</v>
      </c>
    </row>
    <row r="193" spans="1:10" ht="15" customHeight="1" x14ac:dyDescent="0.35">
      <c r="A193" s="6">
        <v>191</v>
      </c>
      <c r="B193" s="6">
        <v>13</v>
      </c>
      <c r="C193" s="6">
        <v>913</v>
      </c>
      <c r="D193" s="7">
        <v>729.971907404543</v>
      </c>
      <c r="E193" s="7">
        <f t="shared" si="10"/>
        <v>22.714837302491091</v>
      </c>
      <c r="F193" s="7">
        <f t="shared" si="11"/>
        <v>41.21875</v>
      </c>
      <c r="G193" s="7">
        <f t="shared" si="12"/>
        <v>40.384313725490195</v>
      </c>
      <c r="H193" s="7">
        <f>E193*'AHP Bobot'!$B$29 + F193*'AHP Bobot'!$B$30 + G193*'AHP Bobot'!$B$31</f>
        <v>31.109197460784358</v>
      </c>
      <c r="I193" s="6">
        <f t="shared" si="13"/>
        <v>182</v>
      </c>
      <c r="J193" s="8" t="str">
        <f t="shared" si="14"/>
        <v>Kuning (Sedang)</v>
      </c>
    </row>
    <row r="194" spans="1:10" ht="15" customHeight="1" x14ac:dyDescent="0.35">
      <c r="A194" s="6">
        <v>192</v>
      </c>
      <c r="B194" s="6">
        <v>7</v>
      </c>
      <c r="C194" s="6">
        <v>913</v>
      </c>
      <c r="D194" s="7">
        <v>655.88806195771099</v>
      </c>
      <c r="E194" s="7">
        <f t="shared" ref="E194:E257" si="15">1+($D194-MIN($D$2:$D$379))/(MAX($D$2:$D$379)-MIN($D$2:$D$379))*99</f>
        <v>18.546489297187627</v>
      </c>
      <c r="F194" s="7">
        <f t="shared" ref="F194:F257" si="16">1+($B194-MIN($B$2:$B$379))/(MAX($B$2:$B$379)-MIN($B$2:$B$379))*99</f>
        <v>22.65625</v>
      </c>
      <c r="G194" s="7">
        <f t="shared" ref="G194:G257" si="17">1+($C194-MIN($C$2:$C$379))/(MAX($C$2:$C$379)-MIN($C$2:$C$379))*99</f>
        <v>40.384313725490195</v>
      </c>
      <c r="H194" s="7">
        <f>E194*'AHP Bobot'!$B$29 + F194*'AHP Bobot'!$B$30 + G194*'AHP Bobot'!$B$31</f>
        <v>23.344763146237689</v>
      </c>
      <c r="I194" s="6">
        <f t="shared" ref="I194:I257" si="18">RANK(H194,$H$2:$H$379)</f>
        <v>259</v>
      </c>
      <c r="J194" s="8" t="str">
        <f t="shared" ref="J194:J257" si="19">CHOOSE(MIN(5,ROUNDUP(I194*5/378,0)),"Merah (Sangat Besar)","Oranye (Besar)","Kuning (Sedang)","Hijau (Rendah)","Hijau Muda (Sangat Rendah)")</f>
        <v>Hijau (Rendah)</v>
      </c>
    </row>
    <row r="195" spans="1:10" ht="15" customHeight="1" x14ac:dyDescent="0.35">
      <c r="A195" s="6">
        <v>193</v>
      </c>
      <c r="B195" s="6">
        <v>6</v>
      </c>
      <c r="C195" s="6">
        <v>913</v>
      </c>
      <c r="D195" s="7">
        <v>571.41243253886398</v>
      </c>
      <c r="E195" s="7">
        <f t="shared" si="15"/>
        <v>13.793444699394499</v>
      </c>
      <c r="F195" s="7">
        <f t="shared" si="16"/>
        <v>19.5625</v>
      </c>
      <c r="G195" s="7">
        <f t="shared" si="17"/>
        <v>40.384313725490195</v>
      </c>
      <c r="H195" s="7">
        <f>E195*'AHP Bobot'!$B$29 + F195*'AHP Bobot'!$B$30 + G195*'AHP Bobot'!$B$31</f>
        <v>19.863414434440092</v>
      </c>
      <c r="I195" s="6">
        <f t="shared" si="18"/>
        <v>292</v>
      </c>
      <c r="J195" s="8" t="str">
        <f t="shared" si="19"/>
        <v>Hijau (Rendah)</v>
      </c>
    </row>
    <row r="196" spans="1:10" ht="15" customHeight="1" x14ac:dyDescent="0.35">
      <c r="A196" s="6">
        <v>194</v>
      </c>
      <c r="B196" s="6">
        <v>6</v>
      </c>
      <c r="C196" s="6">
        <v>1232</v>
      </c>
      <c r="D196" s="7">
        <v>590.09805916877394</v>
      </c>
      <c r="E196" s="7">
        <f t="shared" si="15"/>
        <v>14.844796637470239</v>
      </c>
      <c r="F196" s="7">
        <f t="shared" si="16"/>
        <v>19.5625</v>
      </c>
      <c r="G196" s="7">
        <f t="shared" si="17"/>
        <v>54.145098039215689</v>
      </c>
      <c r="H196" s="7">
        <f>E196*'AHP Bobot'!$B$29 + F196*'AHP Bobot'!$B$30 + G196*'AHP Bobot'!$B$31</f>
        <v>22.683802556343601</v>
      </c>
      <c r="I196" s="6">
        <f t="shared" si="18"/>
        <v>265</v>
      </c>
      <c r="J196" s="8" t="str">
        <f t="shared" si="19"/>
        <v>Hijau (Rendah)</v>
      </c>
    </row>
    <row r="197" spans="1:10" ht="15" customHeight="1" x14ac:dyDescent="0.35">
      <c r="A197" s="6">
        <v>195</v>
      </c>
      <c r="B197" s="6">
        <v>8</v>
      </c>
      <c r="C197" s="6">
        <v>1011</v>
      </c>
      <c r="D197" s="7">
        <v>609.520923349491</v>
      </c>
      <c r="E197" s="7">
        <f t="shared" si="15"/>
        <v>15.937629449760955</v>
      </c>
      <c r="F197" s="7">
        <f t="shared" si="16"/>
        <v>25.75</v>
      </c>
      <c r="G197" s="7">
        <f t="shared" si="17"/>
        <v>44.611764705882351</v>
      </c>
      <c r="H197" s="7">
        <f>E197*'AHP Bobot'!$B$29 + F197*'AHP Bobot'!$B$30 + G197*'AHP Bobot'!$B$31</f>
        <v>23.550706917176569</v>
      </c>
      <c r="I197" s="6">
        <f t="shared" si="18"/>
        <v>255</v>
      </c>
      <c r="J197" s="8" t="str">
        <f t="shared" si="19"/>
        <v>Hijau (Rendah)</v>
      </c>
    </row>
    <row r="198" spans="1:10" ht="15" customHeight="1" x14ac:dyDescent="0.35">
      <c r="A198" s="6">
        <v>196</v>
      </c>
      <c r="B198" s="6">
        <v>3</v>
      </c>
      <c r="C198" s="6">
        <v>582</v>
      </c>
      <c r="D198" s="7">
        <v>807.56551648701998</v>
      </c>
      <c r="E198" s="7">
        <f t="shared" si="15"/>
        <v>27.080663127169192</v>
      </c>
      <c r="F198" s="7">
        <f t="shared" si="16"/>
        <v>10.28125</v>
      </c>
      <c r="G198" s="7">
        <f t="shared" si="17"/>
        <v>26.105882352941176</v>
      </c>
      <c r="H198" s="7">
        <f>E198*'AHP Bobot'!$B$29 + F198*'AHP Bobot'!$B$30 + G198*'AHP Bobot'!$B$31</f>
        <v>21.927247943804499</v>
      </c>
      <c r="I198" s="6">
        <f t="shared" si="18"/>
        <v>274</v>
      </c>
      <c r="J198" s="8" t="str">
        <f t="shared" si="19"/>
        <v>Hijau (Rendah)</v>
      </c>
    </row>
    <row r="199" spans="1:10" ht="15" customHeight="1" x14ac:dyDescent="0.35">
      <c r="A199" s="6">
        <v>197</v>
      </c>
      <c r="B199" s="6">
        <v>13</v>
      </c>
      <c r="C199" s="6">
        <v>1688</v>
      </c>
      <c r="D199" s="7">
        <v>750.15186553599801</v>
      </c>
      <c r="E199" s="7">
        <f t="shared" si="15"/>
        <v>23.850268214817675</v>
      </c>
      <c r="F199" s="7">
        <f t="shared" si="16"/>
        <v>41.21875</v>
      </c>
      <c r="G199" s="7">
        <f t="shared" si="17"/>
        <v>73.815686274509801</v>
      </c>
      <c r="H199" s="7">
        <f>E199*'AHP Bobot'!$B$29 + F199*'AHP Bobot'!$B$30 + G199*'AHP Bobot'!$B$31</f>
        <v>37.196562872137463</v>
      </c>
      <c r="I199" s="6">
        <f t="shared" si="18"/>
        <v>128</v>
      </c>
      <c r="J199" s="8" t="str">
        <f t="shared" si="19"/>
        <v>Oranye (Besar)</v>
      </c>
    </row>
    <row r="200" spans="1:10" ht="15" customHeight="1" x14ac:dyDescent="0.35">
      <c r="A200" s="6">
        <v>198</v>
      </c>
      <c r="B200" s="6">
        <v>15</v>
      </c>
      <c r="C200" s="6">
        <v>1692</v>
      </c>
      <c r="D200" s="7">
        <v>734.54488020980898</v>
      </c>
      <c r="E200" s="7">
        <f t="shared" si="15"/>
        <v>22.97213687915545</v>
      </c>
      <c r="F200" s="7">
        <f t="shared" si="16"/>
        <v>47.40625</v>
      </c>
      <c r="G200" s="7">
        <f t="shared" si="17"/>
        <v>73.988235294117658</v>
      </c>
      <c r="H200" s="7">
        <f>E200*'AHP Bobot'!$B$29 + F200*'AHP Bobot'!$B$30 + G200*'AHP Bobot'!$B$31</f>
        <v>38.590830202376502</v>
      </c>
      <c r="I200" s="6">
        <f t="shared" si="18"/>
        <v>117</v>
      </c>
      <c r="J200" s="8" t="str">
        <f t="shared" si="19"/>
        <v>Oranye (Besar)</v>
      </c>
    </row>
    <row r="201" spans="1:10" ht="15" customHeight="1" x14ac:dyDescent="0.35">
      <c r="A201" s="6">
        <v>199</v>
      </c>
      <c r="B201" s="6">
        <v>22</v>
      </c>
      <c r="C201" s="6">
        <v>2284</v>
      </c>
      <c r="D201" s="7">
        <v>839.52383174362399</v>
      </c>
      <c r="E201" s="7">
        <f t="shared" si="15"/>
        <v>28.878806553030209</v>
      </c>
      <c r="F201" s="7">
        <f t="shared" si="16"/>
        <v>69.0625</v>
      </c>
      <c r="G201" s="7">
        <f t="shared" si="17"/>
        <v>99.525490196078422</v>
      </c>
      <c r="H201" s="7">
        <f>E201*'AHP Bobot'!$B$29 + F201*'AHP Bobot'!$B$30 + G201*'AHP Bobot'!$B$31</f>
        <v>52.394303585586847</v>
      </c>
      <c r="I201" s="6">
        <f t="shared" si="18"/>
        <v>60</v>
      </c>
      <c r="J201" s="8" t="str">
        <f t="shared" si="19"/>
        <v>Merah (Sangat Besar)</v>
      </c>
    </row>
    <row r="202" spans="1:10" ht="15" customHeight="1" x14ac:dyDescent="0.35">
      <c r="A202" s="6">
        <v>200</v>
      </c>
      <c r="B202" s="6">
        <v>17</v>
      </c>
      <c r="C202" s="6">
        <v>2295</v>
      </c>
      <c r="D202" s="7">
        <v>908.74580426672003</v>
      </c>
      <c r="E202" s="7">
        <f t="shared" si="15"/>
        <v>32.773599936790198</v>
      </c>
      <c r="F202" s="7">
        <f t="shared" si="16"/>
        <v>53.59375</v>
      </c>
      <c r="G202" s="7">
        <f t="shared" si="17"/>
        <v>100</v>
      </c>
      <c r="H202" s="7">
        <f>E202*'AHP Bobot'!$B$29 + F202*'AHP Bobot'!$B$30 + G202*'AHP Bobot'!$B$31</f>
        <v>49.972946719179134</v>
      </c>
      <c r="I202" s="6">
        <f t="shared" si="18"/>
        <v>67</v>
      </c>
      <c r="J202" s="8" t="str">
        <f t="shared" si="19"/>
        <v>Merah (Sangat Besar)</v>
      </c>
    </row>
    <row r="203" spans="1:10" ht="15" customHeight="1" x14ac:dyDescent="0.35">
      <c r="A203" s="6">
        <v>201</v>
      </c>
      <c r="B203" s="6">
        <v>18</v>
      </c>
      <c r="C203" s="6">
        <v>1505</v>
      </c>
      <c r="D203" s="7">
        <v>934.00020740290404</v>
      </c>
      <c r="E203" s="7">
        <f t="shared" si="15"/>
        <v>34.194545897450283</v>
      </c>
      <c r="F203" s="7">
        <f t="shared" si="16"/>
        <v>56.6875</v>
      </c>
      <c r="G203" s="7">
        <f t="shared" si="17"/>
        <v>65.921568627450981</v>
      </c>
      <c r="H203" s="7">
        <f>E203*'AHP Bobot'!$B$29 + F203*'AHP Bobot'!$B$30 + G203*'AHP Bobot'!$B$31</f>
        <v>46.077035976786959</v>
      </c>
      <c r="I203" s="6">
        <f t="shared" si="18"/>
        <v>83</v>
      </c>
      <c r="J203" s="8" t="str">
        <f t="shared" si="19"/>
        <v>Oranye (Besar)</v>
      </c>
    </row>
    <row r="204" spans="1:10" ht="15" customHeight="1" x14ac:dyDescent="0.35">
      <c r="A204" s="6">
        <v>202</v>
      </c>
      <c r="B204" s="6">
        <v>15</v>
      </c>
      <c r="C204" s="6">
        <v>1414</v>
      </c>
      <c r="D204" s="7">
        <v>853.73831600887104</v>
      </c>
      <c r="E204" s="7">
        <f t="shared" si="15"/>
        <v>29.678588432279216</v>
      </c>
      <c r="F204" s="7">
        <f t="shared" si="16"/>
        <v>47.40625</v>
      </c>
      <c r="G204" s="7">
        <f t="shared" si="17"/>
        <v>61.996078431372545</v>
      </c>
      <c r="H204" s="7">
        <f>E204*'AHP Bobot'!$B$29 + F204*'AHP Bobot'!$B$30 + G204*'AHP Bobot'!$B$31</f>
        <v>40.241262888047721</v>
      </c>
      <c r="I204" s="6">
        <f t="shared" si="18"/>
        <v>106</v>
      </c>
      <c r="J204" s="8" t="str">
        <f t="shared" si="19"/>
        <v>Oranye (Besar)</v>
      </c>
    </row>
    <row r="205" spans="1:10" ht="15" customHeight="1" x14ac:dyDescent="0.35">
      <c r="A205" s="6">
        <v>203</v>
      </c>
      <c r="B205" s="6">
        <v>21</v>
      </c>
      <c r="C205" s="6">
        <v>1414</v>
      </c>
      <c r="D205" s="7">
        <v>910.08680915347202</v>
      </c>
      <c r="E205" s="7">
        <f t="shared" si="15"/>
        <v>32.849051946753782</v>
      </c>
      <c r="F205" s="7">
        <f t="shared" si="16"/>
        <v>65.96875</v>
      </c>
      <c r="G205" s="7">
        <f t="shared" si="17"/>
        <v>61.996078431372545</v>
      </c>
      <c r="H205" s="7">
        <f>E205*'AHP Bobot'!$B$29 + F205*'AHP Bobot'!$B$30 + G205*'AHP Bobot'!$B$31</f>
        <v>47.467876340654151</v>
      </c>
      <c r="I205" s="6">
        <f t="shared" si="18"/>
        <v>78</v>
      </c>
      <c r="J205" s="8" t="str">
        <f t="shared" si="19"/>
        <v>Oranye (Besar)</v>
      </c>
    </row>
    <row r="206" spans="1:10" ht="15" customHeight="1" x14ac:dyDescent="0.35">
      <c r="A206" s="6">
        <v>204</v>
      </c>
      <c r="B206" s="6">
        <v>18</v>
      </c>
      <c r="C206" s="6">
        <v>1439</v>
      </c>
      <c r="D206" s="7">
        <v>916.23491803511797</v>
      </c>
      <c r="E206" s="7">
        <f t="shared" si="15"/>
        <v>33.194976989367682</v>
      </c>
      <c r="F206" s="7">
        <f t="shared" si="16"/>
        <v>56.6875</v>
      </c>
      <c r="G206" s="7">
        <f t="shared" si="17"/>
        <v>63.074509803921572</v>
      </c>
      <c r="H206" s="7">
        <f>E206*'AHP Bobot'!$B$29 + F206*'AHP Bobot'!$B$30 + G206*'AHP Bobot'!$B$31</f>
        <v>45.072014095633378</v>
      </c>
      <c r="I206" s="6">
        <f t="shared" si="18"/>
        <v>86</v>
      </c>
      <c r="J206" s="8" t="str">
        <f t="shared" si="19"/>
        <v>Oranye (Besar)</v>
      </c>
    </row>
    <row r="207" spans="1:10" ht="15" customHeight="1" x14ac:dyDescent="0.35">
      <c r="A207" s="6">
        <v>205</v>
      </c>
      <c r="B207" s="6">
        <v>26</v>
      </c>
      <c r="C207" s="6">
        <v>1531</v>
      </c>
      <c r="D207" s="7">
        <v>904.29866309682302</v>
      </c>
      <c r="E207" s="7">
        <f t="shared" si="15"/>
        <v>32.523380311809383</v>
      </c>
      <c r="F207" s="7">
        <f t="shared" si="16"/>
        <v>81.4375</v>
      </c>
      <c r="G207" s="7">
        <f t="shared" si="17"/>
        <v>67.043137254901964</v>
      </c>
      <c r="H207" s="7">
        <f>E207*'AHP Bobot'!$B$29 + F207*'AHP Bobot'!$B$30 + G207*'AHP Bobot'!$B$31</f>
        <v>52.717176947896363</v>
      </c>
      <c r="I207" s="6">
        <f t="shared" si="18"/>
        <v>59</v>
      </c>
      <c r="J207" s="8" t="str">
        <f t="shared" si="19"/>
        <v>Merah (Sangat Besar)</v>
      </c>
    </row>
    <row r="208" spans="1:10" ht="15" customHeight="1" x14ac:dyDescent="0.35">
      <c r="A208" s="6">
        <v>206</v>
      </c>
      <c r="B208" s="6">
        <v>12</v>
      </c>
      <c r="C208" s="6">
        <v>1647</v>
      </c>
      <c r="D208" s="7">
        <v>874.27042548601003</v>
      </c>
      <c r="E208" s="7">
        <f t="shared" si="15"/>
        <v>30.833833237236412</v>
      </c>
      <c r="F208" s="7">
        <f t="shared" si="16"/>
        <v>38.125</v>
      </c>
      <c r="G208" s="7">
        <f t="shared" si="17"/>
        <v>72.047058823529412</v>
      </c>
      <c r="H208" s="7">
        <f>E208*'AHP Bobot'!$B$29 + F208*'AHP Bobot'!$B$30 + G208*'AHP Bobot'!$B$31</f>
        <v>39.751122497227115</v>
      </c>
      <c r="I208" s="6">
        <f t="shared" si="18"/>
        <v>108</v>
      </c>
      <c r="J208" s="8" t="str">
        <f t="shared" si="19"/>
        <v>Oranye (Besar)</v>
      </c>
    </row>
    <row r="209" spans="1:10" ht="15" customHeight="1" x14ac:dyDescent="0.35">
      <c r="A209" s="6">
        <v>207</v>
      </c>
      <c r="B209" s="6">
        <v>8</v>
      </c>
      <c r="C209" s="6">
        <v>1125</v>
      </c>
      <c r="D209" s="7">
        <v>866.10681424301799</v>
      </c>
      <c r="E209" s="7">
        <f t="shared" si="15"/>
        <v>30.374505398143338</v>
      </c>
      <c r="F209" s="7">
        <f t="shared" si="16"/>
        <v>25.75</v>
      </c>
      <c r="G209" s="7">
        <f t="shared" si="17"/>
        <v>49.529411764705877</v>
      </c>
      <c r="H209" s="7">
        <f>E209*'AHP Bobot'!$B$29 + F209*'AHP Bobot'!$B$30 + G209*'AHP Bobot'!$B$31</f>
        <v>32.137036077201522</v>
      </c>
      <c r="I209" s="6">
        <f t="shared" si="18"/>
        <v>176</v>
      </c>
      <c r="J209" s="8" t="str">
        <f t="shared" si="19"/>
        <v>Kuning (Sedang)</v>
      </c>
    </row>
    <row r="210" spans="1:10" ht="15" customHeight="1" x14ac:dyDescent="0.35">
      <c r="A210" s="6">
        <v>208</v>
      </c>
      <c r="B210" s="6">
        <v>9</v>
      </c>
      <c r="C210" s="6">
        <v>913</v>
      </c>
      <c r="D210" s="7">
        <v>823.26605655213405</v>
      </c>
      <c r="E210" s="7">
        <f t="shared" si="15"/>
        <v>27.96405834603069</v>
      </c>
      <c r="F210" s="7">
        <f t="shared" si="16"/>
        <v>28.84375</v>
      </c>
      <c r="G210" s="7">
        <f t="shared" si="17"/>
        <v>40.384313725490195</v>
      </c>
      <c r="H210" s="7">
        <f>E210*'AHP Bobot'!$B$29 + F210*'AHP Bobot'!$B$30 + G210*'AHP Bobot'!$B$31</f>
        <v>30.259751659575183</v>
      </c>
      <c r="I210" s="6">
        <f t="shared" si="18"/>
        <v>191</v>
      </c>
      <c r="J210" s="8" t="str">
        <f t="shared" si="19"/>
        <v>Kuning (Sedang)</v>
      </c>
    </row>
    <row r="211" spans="1:10" ht="15" customHeight="1" x14ac:dyDescent="0.35">
      <c r="A211" s="6">
        <v>209</v>
      </c>
      <c r="B211" s="6">
        <v>12</v>
      </c>
      <c r="C211" s="6">
        <v>913</v>
      </c>
      <c r="D211" s="7">
        <v>780.33789611699603</v>
      </c>
      <c r="E211" s="7">
        <f t="shared" si="15"/>
        <v>25.54869355439639</v>
      </c>
      <c r="F211" s="7">
        <f t="shared" si="16"/>
        <v>38.125</v>
      </c>
      <c r="G211" s="7">
        <f t="shared" si="17"/>
        <v>40.384313725490195</v>
      </c>
      <c r="H211" s="7">
        <f>E211*'AHP Bobot'!$B$29 + F211*'AHP Bobot'!$B$30 + G211*'AHP Bobot'!$B$31</f>
        <v>31.716892713434618</v>
      </c>
      <c r="I211" s="6">
        <f t="shared" si="18"/>
        <v>180</v>
      </c>
      <c r="J211" s="8" t="str">
        <f t="shared" si="19"/>
        <v>Kuning (Sedang)</v>
      </c>
    </row>
    <row r="212" spans="1:10" ht="15" customHeight="1" x14ac:dyDescent="0.35">
      <c r="A212" s="6">
        <v>210</v>
      </c>
      <c r="B212" s="6">
        <v>22</v>
      </c>
      <c r="C212" s="6">
        <v>913</v>
      </c>
      <c r="D212" s="7">
        <v>713.40201914856902</v>
      </c>
      <c r="E212" s="7">
        <f t="shared" si="15"/>
        <v>21.782527967800043</v>
      </c>
      <c r="F212" s="7">
        <f t="shared" si="16"/>
        <v>69.0625</v>
      </c>
      <c r="G212" s="7">
        <f t="shared" si="17"/>
        <v>40.384313725490195</v>
      </c>
      <c r="H212" s="7">
        <f>E212*'AHP Bobot'!$B$29 + F212*'AHP Bobot'!$B$30 + G212*'AHP Bobot'!$B$31</f>
        <v>38.883504767411914</v>
      </c>
      <c r="I212" s="6">
        <f t="shared" si="18"/>
        <v>115</v>
      </c>
      <c r="J212" s="8" t="str">
        <f t="shared" si="19"/>
        <v>Oranye (Besar)</v>
      </c>
    </row>
    <row r="213" spans="1:10" ht="15" customHeight="1" x14ac:dyDescent="0.35">
      <c r="A213" s="6">
        <v>211</v>
      </c>
      <c r="B213" s="6">
        <v>11</v>
      </c>
      <c r="C213" s="6">
        <v>913</v>
      </c>
      <c r="D213" s="7">
        <v>546.94074875104798</v>
      </c>
      <c r="E213" s="7">
        <f t="shared" si="15"/>
        <v>12.416538658838498</v>
      </c>
      <c r="F213" s="7">
        <f t="shared" si="16"/>
        <v>35.03125</v>
      </c>
      <c r="G213" s="7">
        <f t="shared" si="17"/>
        <v>40.384313725490195</v>
      </c>
      <c r="H213" s="7">
        <f>E213*'AHP Bobot'!$B$29 + F213*'AHP Bobot'!$B$30 + G213*'AHP Bobot'!$B$31</f>
        <v>23.719530009984584</v>
      </c>
      <c r="I213" s="6">
        <f t="shared" si="18"/>
        <v>254</v>
      </c>
      <c r="J213" s="8" t="str">
        <f t="shared" si="19"/>
        <v>Hijau (Rendah)</v>
      </c>
    </row>
    <row r="214" spans="1:10" ht="15" customHeight="1" x14ac:dyDescent="0.35">
      <c r="A214" s="6">
        <v>212</v>
      </c>
      <c r="B214" s="6">
        <v>4</v>
      </c>
      <c r="C214" s="6">
        <v>901</v>
      </c>
      <c r="D214" s="7">
        <v>483.75317495552599</v>
      </c>
      <c r="E214" s="7">
        <f t="shared" si="15"/>
        <v>8.8612723844986192</v>
      </c>
      <c r="F214" s="7">
        <f t="shared" si="16"/>
        <v>13.375</v>
      </c>
      <c r="G214" s="7">
        <f t="shared" si="17"/>
        <v>39.866666666666667</v>
      </c>
      <c r="H214" s="7">
        <f>E214*'AHP Bobot'!$B$29 + F214*'AHP Bobot'!$B$30 + G214*'AHP Bobot'!$B$31</f>
        <v>15.281099426084996</v>
      </c>
      <c r="I214" s="6">
        <f t="shared" si="18"/>
        <v>333</v>
      </c>
      <c r="J214" s="8" t="str">
        <f t="shared" si="19"/>
        <v>Hijau Muda (Sangat Rendah)</v>
      </c>
    </row>
    <row r="215" spans="1:10" ht="15" customHeight="1" x14ac:dyDescent="0.35">
      <c r="A215" s="6">
        <v>213</v>
      </c>
      <c r="B215" s="6">
        <v>7</v>
      </c>
      <c r="C215" s="6">
        <v>715</v>
      </c>
      <c r="D215" s="7">
        <v>628.80228445306204</v>
      </c>
      <c r="E215" s="7">
        <f t="shared" si="15"/>
        <v>17.022500552372478</v>
      </c>
      <c r="F215" s="7">
        <f t="shared" si="16"/>
        <v>22.65625</v>
      </c>
      <c r="G215" s="7">
        <f t="shared" si="17"/>
        <v>31.843137254901961</v>
      </c>
      <c r="H215" s="7">
        <f>E215*'AHP Bobot'!$B$29 + F215*'AHP Bobot'!$B$30 + G215*'AHP Bobot'!$B$31</f>
        <v>21.124513037146453</v>
      </c>
      <c r="I215" s="6">
        <f t="shared" si="18"/>
        <v>281</v>
      </c>
      <c r="J215" s="8" t="str">
        <f t="shared" si="19"/>
        <v>Hijau (Rendah)</v>
      </c>
    </row>
    <row r="216" spans="1:10" ht="15" customHeight="1" x14ac:dyDescent="0.35">
      <c r="A216" s="6">
        <v>214</v>
      </c>
      <c r="B216" s="6">
        <v>4</v>
      </c>
      <c r="C216" s="6">
        <v>166</v>
      </c>
      <c r="D216" s="7">
        <v>678.77032462937802</v>
      </c>
      <c r="E216" s="7">
        <f t="shared" si="15"/>
        <v>19.833966120089936</v>
      </c>
      <c r="F216" s="7">
        <f t="shared" si="16"/>
        <v>13.375</v>
      </c>
      <c r="G216" s="7">
        <f t="shared" si="17"/>
        <v>8.1607843137254896</v>
      </c>
      <c r="H216" s="7">
        <f>E216*'AHP Bobot'!$B$29 + F216*'AHP Bobot'!$B$30 + G216*'AHP Bobot'!$B$31</f>
        <v>16.002143384504233</v>
      </c>
      <c r="I216" s="6">
        <f t="shared" si="18"/>
        <v>329</v>
      </c>
      <c r="J216" s="8" t="str">
        <f t="shared" si="19"/>
        <v>Hijau Muda (Sangat Rendah)</v>
      </c>
    </row>
    <row r="217" spans="1:10" ht="15" customHeight="1" x14ac:dyDescent="0.35">
      <c r="A217" s="6">
        <v>215</v>
      </c>
      <c r="B217" s="6">
        <v>8</v>
      </c>
      <c r="C217" s="6">
        <v>814</v>
      </c>
      <c r="D217" s="7">
        <v>839.45604722332803</v>
      </c>
      <c r="E217" s="7">
        <f t="shared" si="15"/>
        <v>28.874992638292632</v>
      </c>
      <c r="F217" s="7">
        <f t="shared" si="16"/>
        <v>25.75</v>
      </c>
      <c r="G217" s="7">
        <f t="shared" si="17"/>
        <v>36.113725490196074</v>
      </c>
      <c r="H217" s="7">
        <f>E217*'AHP Bobot'!$B$29 + F217*'AHP Bobot'!$B$30 + G217*'AHP Bobot'!$B$31</f>
        <v>29.131627119104692</v>
      </c>
      <c r="I217" s="6">
        <f t="shared" si="18"/>
        <v>205</v>
      </c>
      <c r="J217" s="8" t="str">
        <f t="shared" si="19"/>
        <v>Kuning (Sedang)</v>
      </c>
    </row>
    <row r="218" spans="1:10" ht="15" customHeight="1" x14ac:dyDescent="0.35">
      <c r="A218" s="6">
        <v>216</v>
      </c>
      <c r="B218" s="6">
        <v>20</v>
      </c>
      <c r="C218" s="6">
        <v>1688</v>
      </c>
      <c r="D218" s="7">
        <v>753.13388821010699</v>
      </c>
      <c r="E218" s="7">
        <f t="shared" si="15"/>
        <v>24.018052543377035</v>
      </c>
      <c r="F218" s="7">
        <f t="shared" si="16"/>
        <v>62.875</v>
      </c>
      <c r="G218" s="7">
        <f t="shared" si="17"/>
        <v>73.815686274509801</v>
      </c>
      <c r="H218" s="7">
        <f>E218*'AHP Bobot'!$B$29 + F218*'AHP Bobot'!$B$30 + G218*'AHP Bobot'!$B$31</f>
        <v>43.724492088179204</v>
      </c>
      <c r="I218" s="6">
        <f t="shared" si="18"/>
        <v>95</v>
      </c>
      <c r="J218" s="8" t="str">
        <f t="shared" si="19"/>
        <v>Oranye (Besar)</v>
      </c>
    </row>
    <row r="219" spans="1:10" ht="15" customHeight="1" x14ac:dyDescent="0.35">
      <c r="A219" s="6">
        <v>217</v>
      </c>
      <c r="B219" s="6">
        <v>8</v>
      </c>
      <c r="C219" s="6">
        <v>1793</v>
      </c>
      <c r="D219" s="7">
        <v>845.13977962622403</v>
      </c>
      <c r="E219" s="7">
        <f t="shared" si="15"/>
        <v>29.194789410198769</v>
      </c>
      <c r="F219" s="7">
        <f t="shared" si="16"/>
        <v>25.75</v>
      </c>
      <c r="G219" s="7">
        <f t="shared" si="17"/>
        <v>78.345098039215685</v>
      </c>
      <c r="H219" s="7">
        <f>E219*'AHP Bobot'!$B$29 + F219*'AHP Bobot'!$B$30 + G219*'AHP Bobot'!$B$31</f>
        <v>36.220667347994549</v>
      </c>
      <c r="I219" s="6">
        <f t="shared" si="18"/>
        <v>134</v>
      </c>
      <c r="J219" s="8" t="str">
        <f t="shared" si="19"/>
        <v>Oranye (Besar)</v>
      </c>
    </row>
    <row r="220" spans="1:10" ht="15" customHeight="1" x14ac:dyDescent="0.35">
      <c r="A220" s="6">
        <v>218</v>
      </c>
      <c r="B220" s="6">
        <v>14</v>
      </c>
      <c r="C220" s="6">
        <v>2295</v>
      </c>
      <c r="D220" s="7">
        <v>952.06406670086403</v>
      </c>
      <c r="E220" s="7">
        <f t="shared" si="15"/>
        <v>35.210913925035626</v>
      </c>
      <c r="F220" s="7">
        <f t="shared" si="16"/>
        <v>44.3125</v>
      </c>
      <c r="G220" s="7">
        <f t="shared" si="17"/>
        <v>100</v>
      </c>
      <c r="H220" s="7">
        <f>E220*'AHP Bobot'!$B$29 + F220*'AHP Bobot'!$B$30 + G220*'AHP Bobot'!$B$31</f>
        <v>48.527635427129589</v>
      </c>
      <c r="I220" s="6">
        <f t="shared" si="18"/>
        <v>75</v>
      </c>
      <c r="J220" s="8" t="str">
        <f t="shared" si="19"/>
        <v>Merah (Sangat Besar)</v>
      </c>
    </row>
    <row r="221" spans="1:10" ht="15" customHeight="1" x14ac:dyDescent="0.35">
      <c r="A221" s="6">
        <v>219</v>
      </c>
      <c r="B221" s="6">
        <v>11</v>
      </c>
      <c r="C221" s="6">
        <v>2289</v>
      </c>
      <c r="D221" s="7">
        <v>979.25604314135899</v>
      </c>
      <c r="E221" s="7">
        <f t="shared" si="15"/>
        <v>36.740877982278597</v>
      </c>
      <c r="F221" s="7">
        <f t="shared" si="16"/>
        <v>35.03125</v>
      </c>
      <c r="G221" s="7">
        <f t="shared" si="17"/>
        <v>99.741176470588243</v>
      </c>
      <c r="H221" s="7">
        <f>E221*'AHP Bobot'!$B$29 + F221*'AHP Bobot'!$B$30 + G221*'AHP Bobot'!$B$31</f>
        <v>46.550907584116629</v>
      </c>
      <c r="I221" s="6">
        <f t="shared" si="18"/>
        <v>80</v>
      </c>
      <c r="J221" s="8" t="str">
        <f t="shared" si="19"/>
        <v>Oranye (Besar)</v>
      </c>
    </row>
    <row r="222" spans="1:10" ht="15" customHeight="1" x14ac:dyDescent="0.35">
      <c r="A222" s="6">
        <v>220</v>
      </c>
      <c r="B222" s="6">
        <v>15</v>
      </c>
      <c r="C222" s="6">
        <v>1414</v>
      </c>
      <c r="D222" s="7">
        <v>941.41423088917099</v>
      </c>
      <c r="E222" s="7">
        <f t="shared" si="15"/>
        <v>34.611697974584743</v>
      </c>
      <c r="F222" s="7">
        <f t="shared" si="16"/>
        <v>47.40625</v>
      </c>
      <c r="G222" s="7">
        <f t="shared" si="17"/>
        <v>61.996078431372545</v>
      </c>
      <c r="H222" s="7">
        <f>E222*'AHP Bobot'!$B$29 + F222*'AHP Bobot'!$B$30 + G222*'AHP Bobot'!$B$31</f>
        <v>42.900016732277329</v>
      </c>
      <c r="I222" s="6">
        <f t="shared" si="18"/>
        <v>97</v>
      </c>
      <c r="J222" s="8" t="str">
        <f t="shared" si="19"/>
        <v>Oranye (Besar)</v>
      </c>
    </row>
    <row r="223" spans="1:10" ht="15" customHeight="1" x14ac:dyDescent="0.35">
      <c r="A223" s="6">
        <v>221</v>
      </c>
      <c r="B223" s="6">
        <v>30</v>
      </c>
      <c r="C223" s="6">
        <v>1414</v>
      </c>
      <c r="D223" s="7">
        <v>935.383661620471</v>
      </c>
      <c r="E223" s="7">
        <f t="shared" si="15"/>
        <v>34.272386330724807</v>
      </c>
      <c r="F223" s="7">
        <f t="shared" si="16"/>
        <v>93.8125</v>
      </c>
      <c r="G223" s="7">
        <f t="shared" si="17"/>
        <v>61.996078431372545</v>
      </c>
      <c r="H223" s="7">
        <f>E223*'AHP Bobot'!$B$29 + F223*'AHP Bobot'!$B$30 + G223*'AHP Bobot'!$B$31</f>
        <v>56.511783833313856</v>
      </c>
      <c r="I223" s="6">
        <f t="shared" si="18"/>
        <v>39</v>
      </c>
      <c r="J223" s="8" t="str">
        <f t="shared" si="19"/>
        <v>Merah (Sangat Besar)</v>
      </c>
    </row>
    <row r="224" spans="1:10" ht="15" customHeight="1" x14ac:dyDescent="0.35">
      <c r="A224" s="6">
        <v>222</v>
      </c>
      <c r="B224" s="6">
        <v>14</v>
      </c>
      <c r="C224" s="6">
        <v>1488</v>
      </c>
      <c r="D224" s="7">
        <v>938.19151872060797</v>
      </c>
      <c r="E224" s="7">
        <f t="shared" si="15"/>
        <v>34.430371185208806</v>
      </c>
      <c r="F224" s="7">
        <f t="shared" si="16"/>
        <v>44.3125</v>
      </c>
      <c r="G224" s="7">
        <f t="shared" si="17"/>
        <v>65.188235294117646</v>
      </c>
      <c r="H224" s="7">
        <f>E224*'AHP Bobot'!$B$29 + F224*'AHP Bobot'!$B$30 + G224*'AHP Bobot'!$B$31</f>
        <v>42.405459370213336</v>
      </c>
      <c r="I224" s="6">
        <f t="shared" si="18"/>
        <v>99</v>
      </c>
      <c r="J224" s="8" t="str">
        <f t="shared" si="19"/>
        <v>Oranye (Besar)</v>
      </c>
    </row>
    <row r="225" spans="1:10" ht="15" customHeight="1" x14ac:dyDescent="0.35">
      <c r="A225" s="6">
        <v>223</v>
      </c>
      <c r="B225" s="6">
        <v>22</v>
      </c>
      <c r="C225" s="6">
        <v>1713</v>
      </c>
      <c r="D225" s="7">
        <v>950.24502333228895</v>
      </c>
      <c r="E225" s="7">
        <f t="shared" si="15"/>
        <v>35.108564947991745</v>
      </c>
      <c r="F225" s="7">
        <f t="shared" si="16"/>
        <v>69.0625</v>
      </c>
      <c r="G225" s="7">
        <f t="shared" si="17"/>
        <v>74.89411764705882</v>
      </c>
      <c r="H225" s="7">
        <f>E225*'AHP Bobot'!$B$29 + F225*'AHP Bobot'!$B$30 + G225*'AHP Bobot'!$B$31</f>
        <v>51.717758096704316</v>
      </c>
      <c r="I225" s="6">
        <f t="shared" si="18"/>
        <v>64</v>
      </c>
      <c r="J225" s="8" t="str">
        <f t="shared" si="19"/>
        <v>Merah (Sangat Besar)</v>
      </c>
    </row>
    <row r="226" spans="1:10" ht="15" customHeight="1" x14ac:dyDescent="0.35">
      <c r="A226" s="6">
        <v>224</v>
      </c>
      <c r="B226" s="6">
        <v>7</v>
      </c>
      <c r="C226" s="6">
        <v>1713</v>
      </c>
      <c r="D226" s="7">
        <v>933.69330053648196</v>
      </c>
      <c r="E226" s="7">
        <f t="shared" si="15"/>
        <v>34.177277697929206</v>
      </c>
      <c r="F226" s="7">
        <f t="shared" si="16"/>
        <v>22.65625</v>
      </c>
      <c r="G226" s="7">
        <f t="shared" si="17"/>
        <v>74.89411764705882</v>
      </c>
      <c r="H226" s="7">
        <f>E226*'AHP Bobot'!$B$29 + F226*'AHP Bobot'!$B$30 + G226*'AHP Bobot'!$B$31</f>
        <v>37.421187695696588</v>
      </c>
      <c r="I226" s="6">
        <f t="shared" si="18"/>
        <v>125</v>
      </c>
      <c r="J226" s="8" t="str">
        <f t="shared" si="19"/>
        <v>Oranye (Besar)</v>
      </c>
    </row>
    <row r="227" spans="1:10" ht="15" customHeight="1" x14ac:dyDescent="0.35">
      <c r="A227" s="6">
        <v>225</v>
      </c>
      <c r="B227" s="6">
        <v>10</v>
      </c>
      <c r="C227" s="6">
        <v>1618</v>
      </c>
      <c r="D227" s="7">
        <v>901.59219753425896</v>
      </c>
      <c r="E227" s="7">
        <f t="shared" si="15"/>
        <v>32.371100280162906</v>
      </c>
      <c r="F227" s="7">
        <f t="shared" si="16"/>
        <v>31.9375</v>
      </c>
      <c r="G227" s="7">
        <f t="shared" si="17"/>
        <v>70.79607843137255</v>
      </c>
      <c r="H227" s="7">
        <f>E227*'AHP Bobot'!$B$29 + F227*'AHP Bobot'!$B$30 + G227*'AHP Bobot'!$B$31</f>
        <v>38.535477426553577</v>
      </c>
      <c r="I227" s="6">
        <f t="shared" si="18"/>
        <v>119</v>
      </c>
      <c r="J227" s="8" t="str">
        <f t="shared" si="19"/>
        <v>Oranye (Besar)</v>
      </c>
    </row>
    <row r="228" spans="1:10" ht="15" customHeight="1" x14ac:dyDescent="0.35">
      <c r="A228" s="6">
        <v>226</v>
      </c>
      <c r="B228" s="6">
        <v>13</v>
      </c>
      <c r="C228" s="6">
        <v>913</v>
      </c>
      <c r="D228" s="7">
        <v>841.33488432303295</v>
      </c>
      <c r="E228" s="7">
        <f t="shared" si="15"/>
        <v>28.980705926116837</v>
      </c>
      <c r="F228" s="7">
        <f t="shared" si="16"/>
        <v>41.21875</v>
      </c>
      <c r="G228" s="7">
        <f t="shared" si="17"/>
        <v>40.384313725490195</v>
      </c>
      <c r="H228" s="7">
        <f>E228*'AHP Bobot'!$B$29 + F228*'AHP Bobot'!$B$30 + G228*'AHP Bobot'!$B$31</f>
        <v>34.486256524167068</v>
      </c>
      <c r="I228" s="6">
        <f t="shared" si="18"/>
        <v>154</v>
      </c>
      <c r="J228" s="8" t="str">
        <f t="shared" si="19"/>
        <v>Kuning (Sedang)</v>
      </c>
    </row>
    <row r="229" spans="1:10" ht="15" customHeight="1" x14ac:dyDescent="0.35">
      <c r="A229" s="6">
        <v>227</v>
      </c>
      <c r="B229" s="6">
        <v>5</v>
      </c>
      <c r="C229" s="6">
        <v>913</v>
      </c>
      <c r="D229" s="7">
        <v>758.38923472408806</v>
      </c>
      <c r="E229" s="7">
        <f t="shared" si="15"/>
        <v>24.313746065043006</v>
      </c>
      <c r="F229" s="7">
        <f t="shared" si="16"/>
        <v>16.46875</v>
      </c>
      <c r="G229" s="7">
        <f t="shared" si="17"/>
        <v>40.384313725490195</v>
      </c>
      <c r="H229" s="7">
        <f>E229*'AHP Bobot'!$B$29 + F229*'AHP Bobot'!$B$30 + G229*'AHP Bobot'!$B$31</f>
        <v>24.613804131510392</v>
      </c>
      <c r="I229" s="6">
        <f t="shared" si="18"/>
        <v>242</v>
      </c>
      <c r="J229" s="8" t="str">
        <f t="shared" si="19"/>
        <v>Hijau (Rendah)</v>
      </c>
    </row>
    <row r="230" spans="1:10" ht="15" customHeight="1" x14ac:dyDescent="0.35">
      <c r="A230" s="6">
        <v>228</v>
      </c>
      <c r="B230" s="6">
        <v>9</v>
      </c>
      <c r="C230" s="6">
        <v>913</v>
      </c>
      <c r="D230" s="7">
        <v>763.52736572576202</v>
      </c>
      <c r="E230" s="7">
        <f t="shared" si="15"/>
        <v>24.602844423566882</v>
      </c>
      <c r="F230" s="7">
        <f t="shared" si="16"/>
        <v>28.84375</v>
      </c>
      <c r="G230" s="7">
        <f t="shared" si="17"/>
        <v>40.384313725490195</v>
      </c>
      <c r="H230" s="7">
        <f>E230*'AHP Bobot'!$B$29 + F230*'AHP Bobot'!$B$30 + G230*'AHP Bobot'!$B$31</f>
        <v>28.448188311753782</v>
      </c>
      <c r="I230" s="6">
        <f t="shared" si="18"/>
        <v>209</v>
      </c>
      <c r="J230" s="8" t="str">
        <f t="shared" si="19"/>
        <v>Kuning (Sedang)</v>
      </c>
    </row>
    <row r="231" spans="1:10" ht="15" customHeight="1" x14ac:dyDescent="0.35">
      <c r="A231" s="6">
        <v>229</v>
      </c>
      <c r="B231" s="6">
        <v>25</v>
      </c>
      <c r="C231" s="6">
        <v>913</v>
      </c>
      <c r="D231" s="7">
        <v>701.77377771667705</v>
      </c>
      <c r="E231" s="7">
        <f t="shared" si="15"/>
        <v>21.128261755166683</v>
      </c>
      <c r="F231" s="7">
        <f t="shared" si="16"/>
        <v>78.34375</v>
      </c>
      <c r="G231" s="7">
        <f t="shared" si="17"/>
        <v>40.384313725490195</v>
      </c>
      <c r="H231" s="7">
        <f>E231*'AHP Bobot'!$B$29 + F231*'AHP Bobot'!$B$30 + G231*'AHP Bobot'!$B$31</f>
        <v>41.289809341122499</v>
      </c>
      <c r="I231" s="6">
        <f t="shared" si="18"/>
        <v>101</v>
      </c>
      <c r="J231" s="8" t="str">
        <f t="shared" si="19"/>
        <v>Oranye (Besar)</v>
      </c>
    </row>
    <row r="232" spans="1:10" ht="15" customHeight="1" x14ac:dyDescent="0.35">
      <c r="A232" s="6">
        <v>230</v>
      </c>
      <c r="B232" s="6">
        <v>6</v>
      </c>
      <c r="C232" s="6">
        <v>913</v>
      </c>
      <c r="D232" s="7">
        <v>599.636631587446</v>
      </c>
      <c r="E232" s="7">
        <f t="shared" si="15"/>
        <v>15.381487046492664</v>
      </c>
      <c r="F232" s="7">
        <f t="shared" si="16"/>
        <v>19.5625</v>
      </c>
      <c r="G232" s="7">
        <f t="shared" si="17"/>
        <v>40.384313725490195</v>
      </c>
      <c r="H232" s="7">
        <f>E232*'AHP Bobot'!$B$29 + F232*'AHP Bobot'!$B$30 + G232*'AHP Bobot'!$B$31</f>
        <v>20.719307387746245</v>
      </c>
      <c r="I232" s="6">
        <f t="shared" si="18"/>
        <v>284</v>
      </c>
      <c r="J232" s="8" t="str">
        <f t="shared" si="19"/>
        <v>Hijau (Rendah)</v>
      </c>
    </row>
    <row r="233" spans="1:10" ht="15" customHeight="1" x14ac:dyDescent="0.35">
      <c r="A233" s="6">
        <v>231</v>
      </c>
      <c r="B233" s="6">
        <v>2</v>
      </c>
      <c r="C233" s="6">
        <v>459</v>
      </c>
      <c r="D233" s="7">
        <v>642.01509736921105</v>
      </c>
      <c r="E233" s="7">
        <f t="shared" si="15"/>
        <v>17.765923116783014</v>
      </c>
      <c r="F233" s="7">
        <f t="shared" si="16"/>
        <v>7.1875</v>
      </c>
      <c r="G233" s="7">
        <f t="shared" si="17"/>
        <v>20.8</v>
      </c>
      <c r="H233" s="7">
        <f>E233*'AHP Bobot'!$B$29 + F233*'AHP Bobot'!$B$30 + G233*'AHP Bobot'!$B$31</f>
        <v>15.118322199305133</v>
      </c>
      <c r="I233" s="6">
        <f t="shared" si="18"/>
        <v>335</v>
      </c>
      <c r="J233" s="8" t="str">
        <f t="shared" si="19"/>
        <v>Hijau Muda (Sangat Rendah)</v>
      </c>
    </row>
    <row r="234" spans="1:10" ht="15" customHeight="1" x14ac:dyDescent="0.35">
      <c r="A234" s="6">
        <v>232</v>
      </c>
      <c r="B234" s="6">
        <v>0</v>
      </c>
      <c r="C234" s="6">
        <v>14</v>
      </c>
      <c r="D234" s="7">
        <v>940.44777265941798</v>
      </c>
      <c r="E234" s="7">
        <f t="shared" si="15"/>
        <v>34.557319935622232</v>
      </c>
      <c r="F234" s="7">
        <f t="shared" si="16"/>
        <v>1</v>
      </c>
      <c r="G234" s="7">
        <f t="shared" si="17"/>
        <v>1.6039215686274511</v>
      </c>
      <c r="H234" s="7">
        <f>E234*'AHP Bobot'!$B$29 + F234*'AHP Bobot'!$B$30 + G234*'AHP Bobot'!$B$31</f>
        <v>19.184998692632206</v>
      </c>
      <c r="I234" s="6">
        <f t="shared" si="18"/>
        <v>301</v>
      </c>
      <c r="J234" s="8" t="str">
        <f t="shared" si="19"/>
        <v>Hijau (Rendah)</v>
      </c>
    </row>
    <row r="235" spans="1:10" ht="15" customHeight="1" x14ac:dyDescent="0.35">
      <c r="A235" s="6">
        <v>233</v>
      </c>
      <c r="B235" s="6">
        <v>5</v>
      </c>
      <c r="C235" s="6">
        <v>1616</v>
      </c>
      <c r="D235" s="7">
        <v>923.36585974878096</v>
      </c>
      <c r="E235" s="7">
        <f t="shared" si="15"/>
        <v>33.596201392458575</v>
      </c>
      <c r="F235" s="7">
        <f t="shared" si="16"/>
        <v>16.46875</v>
      </c>
      <c r="G235" s="7">
        <f t="shared" si="17"/>
        <v>70.709803921568621</v>
      </c>
      <c r="H235" s="7">
        <f>E235*'AHP Bobot'!$B$29 + F235*'AHP Bobot'!$B$30 + G235*'AHP Bobot'!$B$31</f>
        <v>34.58341481267145</v>
      </c>
      <c r="I235" s="6">
        <f t="shared" si="18"/>
        <v>153</v>
      </c>
      <c r="J235" s="8" t="str">
        <f t="shared" si="19"/>
        <v>Kuning (Sedang)</v>
      </c>
    </row>
    <row r="236" spans="1:10" ht="15" customHeight="1" x14ac:dyDescent="0.35">
      <c r="A236" s="6">
        <v>234</v>
      </c>
      <c r="B236" s="6">
        <v>20</v>
      </c>
      <c r="C236" s="6">
        <v>1688</v>
      </c>
      <c r="D236" s="7">
        <v>942.44690081627402</v>
      </c>
      <c r="E236" s="7">
        <f t="shared" si="15"/>
        <v>34.669801432967802</v>
      </c>
      <c r="F236" s="7">
        <f t="shared" si="16"/>
        <v>62.875</v>
      </c>
      <c r="G236" s="7">
        <f t="shared" si="17"/>
        <v>73.815686274509801</v>
      </c>
      <c r="H236" s="7">
        <f>E236*'AHP Bobot'!$B$29 + F236*'AHP Bobot'!$B$30 + G236*'AHP Bobot'!$B$31</f>
        <v>49.465369736465135</v>
      </c>
      <c r="I236" s="6">
        <f t="shared" si="18"/>
        <v>70</v>
      </c>
      <c r="J236" s="8" t="str">
        <f t="shared" si="19"/>
        <v>Merah (Sangat Besar)</v>
      </c>
    </row>
    <row r="237" spans="1:10" ht="15" customHeight="1" x14ac:dyDescent="0.35">
      <c r="A237" s="6">
        <v>235</v>
      </c>
      <c r="B237" s="6">
        <v>13</v>
      </c>
      <c r="C237" s="6">
        <v>2150</v>
      </c>
      <c r="D237" s="7">
        <v>1012.77894621895</v>
      </c>
      <c r="E237" s="7">
        <f t="shared" si="15"/>
        <v>38.627053373589</v>
      </c>
      <c r="F237" s="7">
        <f t="shared" si="16"/>
        <v>41.21875</v>
      </c>
      <c r="G237" s="7">
        <f t="shared" si="17"/>
        <v>93.745098039215691</v>
      </c>
      <c r="H237" s="7">
        <f>E237*'AHP Bobot'!$B$29 + F237*'AHP Bobot'!$B$30 + G237*'AHP Bobot'!$B$31</f>
        <v>48.424726641394621</v>
      </c>
      <c r="I237" s="6">
        <f t="shared" si="18"/>
        <v>76</v>
      </c>
      <c r="J237" s="8" t="str">
        <f t="shared" si="19"/>
        <v>Oranye (Besar)</v>
      </c>
    </row>
    <row r="238" spans="1:10" ht="15" customHeight="1" x14ac:dyDescent="0.35">
      <c r="A238" s="6">
        <v>236</v>
      </c>
      <c r="B238" s="6">
        <v>8</v>
      </c>
      <c r="C238" s="6">
        <v>2288</v>
      </c>
      <c r="D238" s="7">
        <v>1056.0283283331501</v>
      </c>
      <c r="E238" s="7">
        <f t="shared" si="15"/>
        <v>41.060491791627307</v>
      </c>
      <c r="F238" s="7">
        <f t="shared" si="16"/>
        <v>25.75</v>
      </c>
      <c r="G238" s="7">
        <f t="shared" si="17"/>
        <v>99.698039215686279</v>
      </c>
      <c r="H238" s="7">
        <f>E238*'AHP Bobot'!$B$29 + F238*'AHP Bobot'!$B$30 + G238*'AHP Bobot'!$B$31</f>
        <v>46.113017511043566</v>
      </c>
      <c r="I238" s="6">
        <f t="shared" si="18"/>
        <v>82</v>
      </c>
      <c r="J238" s="8" t="str">
        <f t="shared" si="19"/>
        <v>Oranye (Besar)</v>
      </c>
    </row>
    <row r="239" spans="1:10" ht="15" customHeight="1" x14ac:dyDescent="0.35">
      <c r="A239" s="6">
        <v>237</v>
      </c>
      <c r="B239" s="6">
        <v>21</v>
      </c>
      <c r="C239" s="6">
        <v>1900</v>
      </c>
      <c r="D239" s="7">
        <v>1064.98814261915</v>
      </c>
      <c r="E239" s="7">
        <f t="shared" si="15"/>
        <v>41.564618214623813</v>
      </c>
      <c r="F239" s="7">
        <f t="shared" si="16"/>
        <v>65.96875</v>
      </c>
      <c r="G239" s="7">
        <f t="shared" si="17"/>
        <v>82.960784313725497</v>
      </c>
      <c r="H239" s="7">
        <f>E239*'AHP Bobot'!$B$29 + F239*'AHP Bobot'!$B$30 + G239*'AHP Bobot'!$B$31</f>
        <v>55.598840436897312</v>
      </c>
      <c r="I239" s="6">
        <f t="shared" si="18"/>
        <v>45</v>
      </c>
      <c r="J239" s="8" t="str">
        <f t="shared" si="19"/>
        <v>Merah (Sangat Besar)</v>
      </c>
    </row>
    <row r="240" spans="1:10" ht="15" customHeight="1" x14ac:dyDescent="0.35">
      <c r="A240" s="6">
        <v>238</v>
      </c>
      <c r="B240" s="6">
        <v>22</v>
      </c>
      <c r="C240" s="6">
        <v>1573</v>
      </c>
      <c r="D240" s="7">
        <v>1062.4445229119499</v>
      </c>
      <c r="E240" s="7">
        <f t="shared" si="15"/>
        <v>41.421500749961872</v>
      </c>
      <c r="F240" s="7">
        <f t="shared" si="16"/>
        <v>69.0625</v>
      </c>
      <c r="G240" s="7">
        <f t="shared" si="17"/>
        <v>68.854901960784318</v>
      </c>
      <c r="H240" s="7">
        <f>E240*'AHP Bobot'!$B$29 + F240*'AHP Bobot'!$B$30 + G240*'AHP Bobot'!$B$31</f>
        <v>54.131077781615843</v>
      </c>
      <c r="I240" s="6">
        <f t="shared" si="18"/>
        <v>52</v>
      </c>
      <c r="J240" s="8" t="str">
        <f t="shared" si="19"/>
        <v>Merah (Sangat Besar)</v>
      </c>
    </row>
    <row r="241" spans="1:10" ht="15" customHeight="1" x14ac:dyDescent="0.35">
      <c r="A241" s="6">
        <v>239</v>
      </c>
      <c r="B241" s="6">
        <v>32</v>
      </c>
      <c r="C241" s="6">
        <v>1638</v>
      </c>
      <c r="D241" s="7">
        <v>1081.35134883813</v>
      </c>
      <c r="E241" s="7">
        <f t="shared" si="15"/>
        <v>42.485298527475628</v>
      </c>
      <c r="F241" s="7">
        <f t="shared" si="16"/>
        <v>100</v>
      </c>
      <c r="G241" s="7">
        <f t="shared" si="17"/>
        <v>71.658823529411762</v>
      </c>
      <c r="H241" s="7">
        <f>E241*'AHP Bobot'!$B$29 + F241*'AHP Bobot'!$B$30 + G241*'AHP Bobot'!$B$31</f>
        <v>64.36008004415639</v>
      </c>
      <c r="I241" s="6">
        <f t="shared" si="18"/>
        <v>14</v>
      </c>
      <c r="J241" s="8" t="str">
        <f t="shared" si="19"/>
        <v>Merah (Sangat Besar)</v>
      </c>
    </row>
    <row r="242" spans="1:10" ht="15" customHeight="1" x14ac:dyDescent="0.35">
      <c r="A242" s="6">
        <v>240</v>
      </c>
      <c r="B242" s="6">
        <v>18</v>
      </c>
      <c r="C242" s="6">
        <v>1850</v>
      </c>
      <c r="D242" s="7">
        <v>1072.71918075749</v>
      </c>
      <c r="E242" s="7">
        <f t="shared" si="15"/>
        <v>41.999607208627936</v>
      </c>
      <c r="F242" s="7">
        <f t="shared" si="16"/>
        <v>56.6875</v>
      </c>
      <c r="G242" s="7">
        <f t="shared" si="17"/>
        <v>80.803921568627445</v>
      </c>
      <c r="H242" s="7">
        <f>E242*'AHP Bobot'!$B$29 + F242*'AHP Bobot'!$B$30 + G242*'AHP Bobot'!$B$31</f>
        <v>52.721101573537879</v>
      </c>
      <c r="I242" s="6">
        <f t="shared" si="18"/>
        <v>58</v>
      </c>
      <c r="J242" s="8" t="str">
        <f t="shared" si="19"/>
        <v>Merah (Sangat Besar)</v>
      </c>
    </row>
    <row r="243" spans="1:10" ht="15" customHeight="1" x14ac:dyDescent="0.35">
      <c r="A243" s="6">
        <v>241</v>
      </c>
      <c r="B243" s="6">
        <v>9</v>
      </c>
      <c r="C243" s="6">
        <v>1877</v>
      </c>
      <c r="D243" s="7">
        <v>1041.94909555085</v>
      </c>
      <c r="E243" s="7">
        <f t="shared" si="15"/>
        <v>40.26831987438495</v>
      </c>
      <c r="F243" s="7">
        <f t="shared" si="16"/>
        <v>28.84375</v>
      </c>
      <c r="G243" s="7">
        <f t="shared" si="17"/>
        <v>81.968627450980392</v>
      </c>
      <c r="H243" s="7">
        <f>E243*'AHP Bobot'!$B$29 + F243*'AHP Bobot'!$B$30 + G243*'AHP Bobot'!$B$31</f>
        <v>43.70197574136948</v>
      </c>
      <c r="I243" s="6">
        <f t="shared" si="18"/>
        <v>96</v>
      </c>
      <c r="J243" s="8" t="str">
        <f t="shared" si="19"/>
        <v>Oranye (Besar)</v>
      </c>
    </row>
    <row r="244" spans="1:10" ht="15" customHeight="1" x14ac:dyDescent="0.35">
      <c r="A244" s="6">
        <v>242</v>
      </c>
      <c r="B244" s="6">
        <v>19</v>
      </c>
      <c r="C244" s="6">
        <v>1527</v>
      </c>
      <c r="D244" s="7">
        <v>988.92460089482404</v>
      </c>
      <c r="E244" s="7">
        <f t="shared" si="15"/>
        <v>37.284882052028742</v>
      </c>
      <c r="F244" s="7">
        <f t="shared" si="16"/>
        <v>59.78125</v>
      </c>
      <c r="G244" s="7">
        <f t="shared" si="17"/>
        <v>66.870588235294107</v>
      </c>
      <c r="H244" s="7">
        <f>E244*'AHP Bobot'!$B$29 + F244*'AHP Bobot'!$B$30 + G244*'AHP Bobot'!$B$31</f>
        <v>48.817680679853702</v>
      </c>
      <c r="I244" s="6">
        <f t="shared" si="18"/>
        <v>73</v>
      </c>
      <c r="J244" s="8" t="str">
        <f t="shared" si="19"/>
        <v>Merah (Sangat Besar)</v>
      </c>
    </row>
    <row r="245" spans="1:10" ht="15" customHeight="1" x14ac:dyDescent="0.35">
      <c r="A245" s="6">
        <v>243</v>
      </c>
      <c r="B245" s="6">
        <v>8</v>
      </c>
      <c r="C245" s="6">
        <v>985</v>
      </c>
      <c r="D245" s="7">
        <v>911.85166674897903</v>
      </c>
      <c r="E245" s="7">
        <f t="shared" si="15"/>
        <v>32.948352146325036</v>
      </c>
      <c r="F245" s="7">
        <f t="shared" si="16"/>
        <v>25.75</v>
      </c>
      <c r="G245" s="7">
        <f t="shared" si="17"/>
        <v>43.490196078431374</v>
      </c>
      <c r="H245" s="7">
        <f>E245*'AHP Bobot'!$B$29 + F245*'AHP Bobot'!$B$30 + G245*'AHP Bobot'!$B$31</f>
        <v>32.535132440915383</v>
      </c>
      <c r="I245" s="6">
        <f t="shared" si="18"/>
        <v>170</v>
      </c>
      <c r="J245" s="8" t="str">
        <f t="shared" si="19"/>
        <v>Kuning (Sedang)</v>
      </c>
    </row>
    <row r="246" spans="1:10" ht="15" customHeight="1" x14ac:dyDescent="0.35">
      <c r="A246" s="6">
        <v>244</v>
      </c>
      <c r="B246" s="6">
        <v>5</v>
      </c>
      <c r="C246" s="6">
        <v>913</v>
      </c>
      <c r="D246" s="7">
        <v>766.76381153037698</v>
      </c>
      <c r="E246" s="7">
        <f t="shared" si="15"/>
        <v>24.784943939764666</v>
      </c>
      <c r="F246" s="7">
        <f t="shared" si="16"/>
        <v>16.46875</v>
      </c>
      <c r="G246" s="7">
        <f t="shared" si="17"/>
        <v>40.384313725490195</v>
      </c>
      <c r="H246" s="7">
        <f>E246*'AHP Bobot'!$B$29 + F246*'AHP Bobot'!$B$30 + G246*'AHP Bobot'!$B$31</f>
        <v>24.867761427626611</v>
      </c>
      <c r="I246" s="6">
        <f t="shared" si="18"/>
        <v>239</v>
      </c>
      <c r="J246" s="8" t="str">
        <f t="shared" si="19"/>
        <v>Hijau (Rendah)</v>
      </c>
    </row>
    <row r="247" spans="1:10" ht="15" customHeight="1" x14ac:dyDescent="0.35">
      <c r="A247" s="6">
        <v>245</v>
      </c>
      <c r="B247" s="6">
        <v>6</v>
      </c>
      <c r="C247" s="6">
        <v>913</v>
      </c>
      <c r="D247" s="7">
        <v>764.33269645938606</v>
      </c>
      <c r="E247" s="7">
        <f t="shared" si="15"/>
        <v>24.648156579501343</v>
      </c>
      <c r="F247" s="7">
        <f t="shared" si="16"/>
        <v>19.5625</v>
      </c>
      <c r="G247" s="7">
        <f t="shared" si="17"/>
        <v>40.384313725490195</v>
      </c>
      <c r="H247" s="7">
        <f>E247*'AHP Bobot'!$B$29 + F247*'AHP Bobot'!$B$30 + G247*'AHP Bobot'!$B$31</f>
        <v>25.71368122696521</v>
      </c>
      <c r="I247" s="6">
        <f t="shared" si="18"/>
        <v>235</v>
      </c>
      <c r="J247" s="8" t="str">
        <f t="shared" si="19"/>
        <v>Hijau (Rendah)</v>
      </c>
    </row>
    <row r="248" spans="1:10" ht="15" customHeight="1" x14ac:dyDescent="0.35">
      <c r="A248" s="6">
        <v>246</v>
      </c>
      <c r="B248" s="6">
        <v>11</v>
      </c>
      <c r="C248" s="6">
        <v>913</v>
      </c>
      <c r="D248" s="7">
        <v>784.12822432228097</v>
      </c>
      <c r="E248" s="7">
        <f t="shared" si="15"/>
        <v>25.761957416695271</v>
      </c>
      <c r="F248" s="7">
        <f t="shared" si="16"/>
        <v>35.03125</v>
      </c>
      <c r="G248" s="7">
        <f t="shared" si="17"/>
        <v>40.384313725490195</v>
      </c>
      <c r="H248" s="7">
        <f>E248*'AHP Bobot'!$B$29 + F248*'AHP Bobot'!$B$30 + G248*'AHP Bobot'!$B$31</f>
        <v>30.912190769089207</v>
      </c>
      <c r="I248" s="6">
        <f t="shared" si="18"/>
        <v>186</v>
      </c>
      <c r="J248" s="8" t="str">
        <f t="shared" si="19"/>
        <v>Kuning (Sedang)</v>
      </c>
    </row>
    <row r="249" spans="1:10" ht="15" customHeight="1" x14ac:dyDescent="0.35">
      <c r="A249" s="6">
        <v>247</v>
      </c>
      <c r="B249" s="6">
        <v>15</v>
      </c>
      <c r="C249" s="6">
        <v>913</v>
      </c>
      <c r="D249" s="7">
        <v>748.48993677519297</v>
      </c>
      <c r="E249" s="7">
        <f t="shared" si="15"/>
        <v>23.756759334531086</v>
      </c>
      <c r="F249" s="7">
        <f t="shared" si="16"/>
        <v>47.40625</v>
      </c>
      <c r="G249" s="7">
        <f t="shared" si="17"/>
        <v>40.384313725490195</v>
      </c>
      <c r="H249" s="7">
        <f>E249*'AHP Bobot'!$B$29 + F249*'AHP Bobot'!$B$30 + G249*'AHP Bobot'!$B$31</f>
        <v>33.510038555974745</v>
      </c>
      <c r="I249" s="6">
        <f t="shared" si="18"/>
        <v>159</v>
      </c>
      <c r="J249" s="8" t="str">
        <f t="shared" si="19"/>
        <v>Kuning (Sedang)</v>
      </c>
    </row>
    <row r="250" spans="1:10" ht="15" customHeight="1" x14ac:dyDescent="0.35">
      <c r="A250" s="6">
        <v>248</v>
      </c>
      <c r="B250" s="6">
        <v>3</v>
      </c>
      <c r="C250" s="6">
        <v>588</v>
      </c>
      <c r="D250" s="7">
        <v>737.5344809943</v>
      </c>
      <c r="E250" s="7">
        <f t="shared" si="15"/>
        <v>23.140347592186409</v>
      </c>
      <c r="F250" s="7">
        <f t="shared" si="16"/>
        <v>10.28125</v>
      </c>
      <c r="G250" s="7">
        <f t="shared" si="17"/>
        <v>26.36470588235294</v>
      </c>
      <c r="H250" s="7">
        <f>E250*'AHP Bobot'!$B$29 + F250*'AHP Bobot'!$B$30 + G250*'AHP Bobot'!$B$31</f>
        <v>19.845961678684969</v>
      </c>
      <c r="I250" s="6">
        <f t="shared" si="18"/>
        <v>293</v>
      </c>
      <c r="J250" s="8" t="str">
        <f t="shared" si="19"/>
        <v>Hijau (Rendah)</v>
      </c>
    </row>
    <row r="251" spans="1:10" ht="15" customHeight="1" x14ac:dyDescent="0.35">
      <c r="A251" s="6">
        <v>249</v>
      </c>
      <c r="B251" s="6">
        <v>0</v>
      </c>
      <c r="C251" s="6">
        <v>146</v>
      </c>
      <c r="D251" s="7">
        <v>1019.69078477265</v>
      </c>
      <c r="E251" s="7">
        <f t="shared" si="15"/>
        <v>39.015949876929554</v>
      </c>
      <c r="F251" s="7">
        <f t="shared" si="16"/>
        <v>1</v>
      </c>
      <c r="G251" s="7">
        <f t="shared" si="17"/>
        <v>7.2980392156862752</v>
      </c>
      <c r="H251" s="7">
        <f>E251*'AHP Bobot'!$B$29 + F251*'AHP Bobot'!$B$30 + G251*'AHP Bobot'!$B$31</f>
        <v>22.520612886022484</v>
      </c>
      <c r="I251" s="6">
        <f t="shared" si="18"/>
        <v>269</v>
      </c>
      <c r="J251" s="8" t="str">
        <f t="shared" si="19"/>
        <v>Hijau (Rendah)</v>
      </c>
    </row>
    <row r="252" spans="1:10" ht="15" customHeight="1" x14ac:dyDescent="0.35">
      <c r="A252" s="6">
        <v>250</v>
      </c>
      <c r="B252" s="6">
        <v>11</v>
      </c>
      <c r="C252" s="6">
        <v>1629</v>
      </c>
      <c r="D252" s="7">
        <v>1041.7234056085399</v>
      </c>
      <c r="E252" s="7">
        <f t="shared" si="15"/>
        <v>40.255621367508432</v>
      </c>
      <c r="F252" s="7">
        <f t="shared" si="16"/>
        <v>35.03125</v>
      </c>
      <c r="G252" s="7">
        <f t="shared" si="17"/>
        <v>71.270588235294127</v>
      </c>
      <c r="H252" s="7">
        <f>E252*'AHP Bobot'!$B$29 + F252*'AHP Bobot'!$B$30 + G252*'AHP Bobot'!$B$31</f>
        <v>43.782285491299113</v>
      </c>
      <c r="I252" s="6">
        <f t="shared" si="18"/>
        <v>94</v>
      </c>
      <c r="J252" s="8" t="str">
        <f t="shared" si="19"/>
        <v>Oranye (Besar)</v>
      </c>
    </row>
    <row r="253" spans="1:10" ht="15" customHeight="1" x14ac:dyDescent="0.35">
      <c r="A253" s="6">
        <v>251</v>
      </c>
      <c r="B253" s="6">
        <v>7</v>
      </c>
      <c r="C253" s="6">
        <v>1612</v>
      </c>
      <c r="D253" s="7">
        <v>1079.31382775716</v>
      </c>
      <c r="E253" s="7">
        <f t="shared" si="15"/>
        <v>42.3706568416614</v>
      </c>
      <c r="F253" s="7">
        <f t="shared" si="16"/>
        <v>22.65625</v>
      </c>
      <c r="G253" s="7">
        <f t="shared" si="17"/>
        <v>70.537254901960793</v>
      </c>
      <c r="H253" s="7">
        <f>E253*'AHP Bobot'!$B$29 + F253*'AHP Bobot'!$B$30 + G253*'AHP Bobot'!$B$31</f>
        <v>41.123529959210799</v>
      </c>
      <c r="I253" s="6">
        <f t="shared" si="18"/>
        <v>102</v>
      </c>
      <c r="J253" s="8" t="str">
        <f t="shared" si="19"/>
        <v>Oranye (Besar)</v>
      </c>
    </row>
    <row r="254" spans="1:10" ht="15" customHeight="1" x14ac:dyDescent="0.35">
      <c r="A254" s="6">
        <v>252</v>
      </c>
      <c r="B254" s="6">
        <v>18</v>
      </c>
      <c r="C254" s="6">
        <v>2125</v>
      </c>
      <c r="D254" s="7">
        <v>1134.8731578910799</v>
      </c>
      <c r="E254" s="7">
        <f t="shared" si="15"/>
        <v>45.496717881593902</v>
      </c>
      <c r="F254" s="7">
        <f t="shared" si="16"/>
        <v>56.6875</v>
      </c>
      <c r="G254" s="7">
        <f t="shared" si="17"/>
        <v>92.666666666666671</v>
      </c>
      <c r="H254" s="7">
        <f>E254*'AHP Bobot'!$B$29 + F254*'AHP Bobot'!$B$30 + G254*'AHP Bobot'!$B$31</f>
        <v>56.54879624161903</v>
      </c>
      <c r="I254" s="6">
        <f t="shared" si="18"/>
        <v>38</v>
      </c>
      <c r="J254" s="8" t="str">
        <f t="shared" si="19"/>
        <v>Merah (Sangat Besar)</v>
      </c>
    </row>
    <row r="255" spans="1:10" ht="15" customHeight="1" x14ac:dyDescent="0.35">
      <c r="A255" s="6">
        <v>253</v>
      </c>
      <c r="B255" s="6">
        <v>27</v>
      </c>
      <c r="C255" s="6">
        <v>2114</v>
      </c>
      <c r="D255" s="7">
        <v>1178.01603249714</v>
      </c>
      <c r="E255" s="7">
        <f t="shared" si="15"/>
        <v>47.92416362529913</v>
      </c>
      <c r="F255" s="7">
        <f t="shared" si="16"/>
        <v>84.53125</v>
      </c>
      <c r="G255" s="7">
        <f t="shared" si="17"/>
        <v>92.192156862745094</v>
      </c>
      <c r="H255" s="7">
        <f>E255*'AHP Bobot'!$B$29 + F255*'AHP Bobot'!$B$30 + G255*'AHP Bobot'!$B$31</f>
        <v>66.056165105296969</v>
      </c>
      <c r="I255" s="6">
        <f t="shared" si="18"/>
        <v>7</v>
      </c>
      <c r="J255" s="8" t="str">
        <f t="shared" si="19"/>
        <v>Merah (Sangat Besar)</v>
      </c>
    </row>
    <row r="256" spans="1:10" ht="15" customHeight="1" x14ac:dyDescent="0.35">
      <c r="A256" s="6">
        <v>254</v>
      </c>
      <c r="B256" s="6">
        <v>18</v>
      </c>
      <c r="C256" s="6">
        <v>2112</v>
      </c>
      <c r="D256" s="7">
        <v>1224.4004609318199</v>
      </c>
      <c r="E256" s="7">
        <f t="shared" si="15"/>
        <v>50.533996289582184</v>
      </c>
      <c r="F256" s="7">
        <f t="shared" si="16"/>
        <v>56.6875</v>
      </c>
      <c r="G256" s="7">
        <f t="shared" si="17"/>
        <v>92.105882352941165</v>
      </c>
      <c r="H256" s="7">
        <f>E256*'AHP Bobot'!$B$29 + F256*'AHP Bobot'!$B$30 + G256*'AHP Bobot'!$B$31</f>
        <v>59.171847418784658</v>
      </c>
      <c r="I256" s="6">
        <f t="shared" si="18"/>
        <v>28</v>
      </c>
      <c r="J256" s="8" t="str">
        <f t="shared" si="19"/>
        <v>Merah (Sangat Besar)</v>
      </c>
    </row>
    <row r="257" spans="1:10" ht="15" customHeight="1" x14ac:dyDescent="0.35">
      <c r="A257" s="6">
        <v>255</v>
      </c>
      <c r="B257" s="6">
        <v>24</v>
      </c>
      <c r="C257" s="6">
        <v>2058</v>
      </c>
      <c r="D257" s="7">
        <v>1261.9219849487499</v>
      </c>
      <c r="E257" s="7">
        <f t="shared" si="15"/>
        <v>52.645155191345218</v>
      </c>
      <c r="F257" s="7">
        <f t="shared" si="16"/>
        <v>75.25</v>
      </c>
      <c r="G257" s="7">
        <f t="shared" si="17"/>
        <v>89.776470588235298</v>
      </c>
      <c r="H257" s="7">
        <f>E257*'AHP Bobot'!$B$29 + F257*'AHP Bobot'!$B$30 + G257*'AHP Bobot'!$B$31</f>
        <v>65.44602435170583</v>
      </c>
      <c r="I257" s="6">
        <f t="shared" si="18"/>
        <v>8</v>
      </c>
      <c r="J257" s="8" t="str">
        <f t="shared" si="19"/>
        <v>Merah (Sangat Besar)</v>
      </c>
    </row>
    <row r="258" spans="1:10" ht="15" customHeight="1" x14ac:dyDescent="0.35">
      <c r="A258" s="6">
        <v>256</v>
      </c>
      <c r="B258" s="6">
        <v>24</v>
      </c>
      <c r="C258" s="6">
        <v>2053</v>
      </c>
      <c r="D258" s="7">
        <v>1236.7933060433099</v>
      </c>
      <c r="E258" s="7">
        <f t="shared" ref="E258:E321" si="20">1+($D258-MIN($D$2:$D$379))/(MAX($D$2:$D$379)-MIN($D$2:$D$379))*99</f>
        <v>51.231283139217801</v>
      </c>
      <c r="F258" s="7">
        <f t="shared" ref="F258:F321" si="21">1+($B258-MIN($B$2:$B$379))/(MAX($B$2:$B$379)-MIN($B$2:$B$379))*99</f>
        <v>75.25</v>
      </c>
      <c r="G258" s="7">
        <f t="shared" ref="G258:G321" si="22">1+($C258-MIN($C$2:$C$379))/(MAX($C$2:$C$379)-MIN($C$2:$C$379))*99</f>
        <v>89.560784313725492</v>
      </c>
      <c r="H258" s="7">
        <f>E258*'AHP Bobot'!$B$29 + F258*'AHP Bobot'!$B$30 + G258*'AHP Bobot'!$B$31</f>
        <v>64.648677160325676</v>
      </c>
      <c r="I258" s="6">
        <f t="shared" ref="I258:I321" si="23">RANK(H258,$H$2:$H$379)</f>
        <v>13</v>
      </c>
      <c r="J258" s="8" t="str">
        <f t="shared" ref="J258:J321" si="24">CHOOSE(MIN(5,ROUNDUP(I258*5/378,0)),"Merah (Sangat Besar)","Oranye (Besar)","Kuning (Sedang)","Hijau (Rendah)","Hijau Muda (Sangat Rendah)")</f>
        <v>Merah (Sangat Besar)</v>
      </c>
    </row>
    <row r="259" spans="1:10" ht="15" customHeight="1" x14ac:dyDescent="0.35">
      <c r="A259" s="6">
        <v>257</v>
      </c>
      <c r="B259" s="6">
        <v>16</v>
      </c>
      <c r="C259" s="6">
        <v>2053</v>
      </c>
      <c r="D259" s="7">
        <v>1184.84954899947</v>
      </c>
      <c r="E259" s="7">
        <f t="shared" si="20"/>
        <v>48.308653316808702</v>
      </c>
      <c r="F259" s="7">
        <f t="shared" si="21"/>
        <v>50.5</v>
      </c>
      <c r="G259" s="7">
        <f t="shared" si="22"/>
        <v>89.560784313725492</v>
      </c>
      <c r="H259" s="7">
        <f>E259*'AHP Bobot'!$B$29 + F259*'AHP Bobot'!$B$30 + G259*'AHP Bobot'!$B$31</f>
        <v>55.716350697598692</v>
      </c>
      <c r="I259" s="6">
        <f t="shared" si="23"/>
        <v>44</v>
      </c>
      <c r="J259" s="8" t="str">
        <f t="shared" si="24"/>
        <v>Merah (Sangat Besar)</v>
      </c>
    </row>
    <row r="260" spans="1:10" ht="15" customHeight="1" x14ac:dyDescent="0.35">
      <c r="A260" s="6">
        <v>258</v>
      </c>
      <c r="B260" s="6">
        <v>15</v>
      </c>
      <c r="C260" s="6">
        <v>2052</v>
      </c>
      <c r="D260" s="7">
        <v>1050.1737102341001</v>
      </c>
      <c r="E260" s="7">
        <f t="shared" si="20"/>
        <v>40.731080088876233</v>
      </c>
      <c r="F260" s="7">
        <f t="shared" si="21"/>
        <v>47.40625</v>
      </c>
      <c r="G260" s="7">
        <f t="shared" si="22"/>
        <v>89.517647058823528</v>
      </c>
      <c r="H260" s="7">
        <f>E260*'AHP Bobot'!$B$29 + F260*'AHP Bobot'!$B$30 + G260*'AHP Bobot'!$B$31</f>
        <v>50.705626052484476</v>
      </c>
      <c r="I260" s="6">
        <f t="shared" si="23"/>
        <v>65</v>
      </c>
      <c r="J260" s="8" t="str">
        <f t="shared" si="24"/>
        <v>Merah (Sangat Besar)</v>
      </c>
    </row>
    <row r="261" spans="1:10" ht="15" customHeight="1" x14ac:dyDescent="0.35">
      <c r="A261" s="6">
        <v>259</v>
      </c>
      <c r="B261" s="6">
        <v>8</v>
      </c>
      <c r="C261" s="6">
        <v>1097</v>
      </c>
      <c r="D261" s="7">
        <v>992.32307459351398</v>
      </c>
      <c r="E261" s="7">
        <f t="shared" si="20"/>
        <v>37.476098112393444</v>
      </c>
      <c r="F261" s="7">
        <f t="shared" si="21"/>
        <v>25.75</v>
      </c>
      <c r="G261" s="7">
        <f t="shared" si="22"/>
        <v>48.321568627450979</v>
      </c>
      <c r="H261" s="7">
        <f>E261*'AHP Bobot'!$B$29 + F261*'AHP Bobot'!$B$30 + G261*'AHP Bobot'!$B$31</f>
        <v>35.76669651398938</v>
      </c>
      <c r="I261" s="6">
        <f t="shared" si="23"/>
        <v>140</v>
      </c>
      <c r="J261" s="8" t="str">
        <f t="shared" si="24"/>
        <v>Oranye (Besar)</v>
      </c>
    </row>
    <row r="262" spans="1:10" ht="15" customHeight="1" x14ac:dyDescent="0.35">
      <c r="A262" s="6">
        <v>260</v>
      </c>
      <c r="B262" s="6">
        <v>11</v>
      </c>
      <c r="C262" s="6">
        <v>999</v>
      </c>
      <c r="D262" s="7">
        <v>945.77863797993302</v>
      </c>
      <c r="E262" s="7">
        <f t="shared" si="20"/>
        <v>34.857262543775015</v>
      </c>
      <c r="F262" s="7">
        <f t="shared" si="21"/>
        <v>35.03125</v>
      </c>
      <c r="G262" s="7">
        <f t="shared" si="22"/>
        <v>44.094117647058823</v>
      </c>
      <c r="H262" s="7">
        <f>E262*'AHP Bobot'!$B$29 + F262*'AHP Bobot'!$B$30 + G262*'AHP Bobot'!$B$31</f>
        <v>36.421800018818388</v>
      </c>
      <c r="I262" s="6">
        <f t="shared" si="23"/>
        <v>130</v>
      </c>
      <c r="J262" s="8" t="str">
        <f t="shared" si="24"/>
        <v>Oranye (Besar)</v>
      </c>
    </row>
    <row r="263" spans="1:10" ht="15" customHeight="1" x14ac:dyDescent="0.35">
      <c r="A263" s="6">
        <v>261</v>
      </c>
      <c r="B263" s="6">
        <v>12</v>
      </c>
      <c r="C263" s="6">
        <v>987</v>
      </c>
      <c r="D263" s="7">
        <v>871.23280095622295</v>
      </c>
      <c r="E263" s="7">
        <f t="shared" si="20"/>
        <v>30.662920454925644</v>
      </c>
      <c r="F263" s="7">
        <f t="shared" si="21"/>
        <v>38.125</v>
      </c>
      <c r="G263" s="7">
        <f t="shared" si="22"/>
        <v>43.576470588235296</v>
      </c>
      <c r="H263" s="7">
        <f>E263*'AHP Bobot'!$B$29 + F263*'AHP Bobot'!$B$30 + G263*'AHP Bobot'!$B$31</f>
        <v>34.996075327098751</v>
      </c>
      <c r="I263" s="6">
        <f t="shared" si="23"/>
        <v>147</v>
      </c>
      <c r="J263" s="8" t="str">
        <f t="shared" si="24"/>
        <v>Oranye (Besar)</v>
      </c>
    </row>
    <row r="264" spans="1:10" ht="15" customHeight="1" x14ac:dyDescent="0.35">
      <c r="A264" s="6">
        <v>262</v>
      </c>
      <c r="B264" s="6">
        <v>7</v>
      </c>
      <c r="C264" s="6">
        <v>961</v>
      </c>
      <c r="D264" s="7">
        <v>858.62788428045405</v>
      </c>
      <c r="E264" s="7">
        <f t="shared" si="20"/>
        <v>29.953701340211015</v>
      </c>
      <c r="F264" s="7">
        <f t="shared" si="21"/>
        <v>22.65625</v>
      </c>
      <c r="G264" s="7">
        <f t="shared" si="22"/>
        <v>42.454901960784312</v>
      </c>
      <c r="H264" s="7">
        <f>E264*'AHP Bobot'!$B$29 + F264*'AHP Bobot'!$B$30 + G264*'AHP Bobot'!$B$31</f>
        <v>29.831928316187351</v>
      </c>
      <c r="I264" s="6">
        <f t="shared" si="23"/>
        <v>193</v>
      </c>
      <c r="J264" s="8" t="str">
        <f t="shared" si="24"/>
        <v>Kuning (Sedang)</v>
      </c>
    </row>
    <row r="265" spans="1:10" ht="15" customHeight="1" x14ac:dyDescent="0.35">
      <c r="A265" s="6">
        <v>263</v>
      </c>
      <c r="B265" s="6">
        <v>6</v>
      </c>
      <c r="C265" s="6">
        <v>942</v>
      </c>
      <c r="D265" s="7">
        <v>830.66984077132599</v>
      </c>
      <c r="E265" s="7">
        <f t="shared" si="20"/>
        <v>28.380634307977942</v>
      </c>
      <c r="F265" s="7">
        <f t="shared" si="21"/>
        <v>19.5625</v>
      </c>
      <c r="G265" s="7">
        <f t="shared" si="22"/>
        <v>41.635294117647057</v>
      </c>
      <c r="H265" s="7">
        <f>E265*'AHP Bobot'!$B$29 + F265*'AHP Bobot'!$B$30 + G265*'AHP Bobot'!$B$31</f>
        <v>27.93022770040794</v>
      </c>
      <c r="I265" s="6">
        <f t="shared" si="23"/>
        <v>214</v>
      </c>
      <c r="J265" s="8" t="str">
        <f t="shared" si="24"/>
        <v>Kuning (Sedang)</v>
      </c>
    </row>
    <row r="266" spans="1:10" ht="15" customHeight="1" x14ac:dyDescent="0.35">
      <c r="A266" s="6">
        <v>264</v>
      </c>
      <c r="B266" s="6">
        <v>2</v>
      </c>
      <c r="C266" s="6">
        <v>778</v>
      </c>
      <c r="D266" s="7">
        <v>822.03674977296498</v>
      </c>
      <c r="E266" s="7">
        <f t="shared" si="20"/>
        <v>27.894891060910034</v>
      </c>
      <c r="F266" s="7">
        <f t="shared" si="21"/>
        <v>7.1875</v>
      </c>
      <c r="G266" s="7">
        <f t="shared" si="22"/>
        <v>34.560784313725492</v>
      </c>
      <c r="H266" s="7">
        <f>E266*'AHP Bobot'!$B$29 + F266*'AHP Bobot'!$B$30 + G266*'AHP Bobot'!$B$31</f>
        <v>22.831191675119396</v>
      </c>
      <c r="I266" s="6">
        <f t="shared" si="23"/>
        <v>262</v>
      </c>
      <c r="J266" s="8" t="str">
        <f t="shared" si="24"/>
        <v>Hijau (Rendah)</v>
      </c>
    </row>
    <row r="267" spans="1:10" ht="15" customHeight="1" x14ac:dyDescent="0.35">
      <c r="A267" s="6">
        <v>265</v>
      </c>
      <c r="B267" s="6">
        <v>9</v>
      </c>
      <c r="C267" s="6">
        <v>931</v>
      </c>
      <c r="D267" s="7">
        <v>1093.3011812904999</v>
      </c>
      <c r="E267" s="7">
        <f t="shared" si="20"/>
        <v>43.157659147609678</v>
      </c>
      <c r="F267" s="7">
        <f t="shared" si="21"/>
        <v>28.84375</v>
      </c>
      <c r="G267" s="7">
        <f t="shared" si="22"/>
        <v>41.160784313725493</v>
      </c>
      <c r="H267" s="7">
        <f>E267*'AHP Bobot'!$B$29 + F267*'AHP Bobot'!$B$30 + G267*'AHP Bobot'!$B$31</f>
        <v>38.575681401500802</v>
      </c>
      <c r="I267" s="6">
        <f t="shared" si="23"/>
        <v>118</v>
      </c>
      <c r="J267" s="8" t="str">
        <f t="shared" si="24"/>
        <v>Oranye (Besar)</v>
      </c>
    </row>
    <row r="268" spans="1:10" ht="15" customHeight="1" x14ac:dyDescent="0.35">
      <c r="A268" s="6">
        <v>266</v>
      </c>
      <c r="B268" s="6">
        <v>22</v>
      </c>
      <c r="C268" s="6">
        <v>1319</v>
      </c>
      <c r="D268" s="7">
        <v>1081.75471603491</v>
      </c>
      <c r="E268" s="7">
        <f t="shared" si="20"/>
        <v>42.507994094099651</v>
      </c>
      <c r="F268" s="7">
        <f t="shared" si="21"/>
        <v>69.0625</v>
      </c>
      <c r="G268" s="7">
        <f t="shared" si="22"/>
        <v>57.898039215686275</v>
      </c>
      <c r="H268" s="7">
        <f>E268*'AHP Bobot'!$B$29 + F268*'AHP Bobot'!$B$30 + G268*'AHP Bobot'!$B$31</f>
        <v>52.922133109850812</v>
      </c>
      <c r="I268" s="6">
        <f t="shared" si="23"/>
        <v>57</v>
      </c>
      <c r="J268" s="8" t="str">
        <f t="shared" si="24"/>
        <v>Merah (Sangat Besar)</v>
      </c>
    </row>
    <row r="269" spans="1:10" ht="15" customHeight="1" x14ac:dyDescent="0.35">
      <c r="A269" s="6">
        <v>267</v>
      </c>
      <c r="B269" s="6">
        <v>10</v>
      </c>
      <c r="C269" s="6">
        <v>1659</v>
      </c>
      <c r="D269" s="7">
        <v>1162.28002882282</v>
      </c>
      <c r="E269" s="7">
        <f t="shared" si="20"/>
        <v>47.038773036680531</v>
      </c>
      <c r="F269" s="7">
        <f t="shared" si="21"/>
        <v>31.9375</v>
      </c>
      <c r="G269" s="7">
        <f t="shared" si="22"/>
        <v>72.564705882352939</v>
      </c>
      <c r="H269" s="7">
        <f>E269*'AHP Bobot'!$B$29 + F269*'AHP Bobot'!$B$30 + G269*'AHP Bobot'!$B$31</f>
        <v>46.730448552449118</v>
      </c>
      <c r="I269" s="6">
        <f t="shared" si="23"/>
        <v>79</v>
      </c>
      <c r="J269" s="8" t="str">
        <f t="shared" si="24"/>
        <v>Oranye (Besar)</v>
      </c>
    </row>
    <row r="270" spans="1:10" ht="15" customHeight="1" x14ac:dyDescent="0.35">
      <c r="A270" s="6">
        <v>268</v>
      </c>
      <c r="B270" s="6">
        <v>18</v>
      </c>
      <c r="C270" s="6">
        <v>2112</v>
      </c>
      <c r="D270" s="7">
        <v>1260.02043391761</v>
      </c>
      <c r="E270" s="7">
        <f t="shared" si="20"/>
        <v>52.538163897901576</v>
      </c>
      <c r="F270" s="7">
        <f t="shared" si="21"/>
        <v>56.6875</v>
      </c>
      <c r="G270" s="7">
        <f t="shared" si="22"/>
        <v>92.105882352941165</v>
      </c>
      <c r="H270" s="7">
        <f>E270*'AHP Bobot'!$B$29 + F270*'AHP Bobot'!$B$30 + G270*'AHP Bobot'!$B$31</f>
        <v>60.252015675216541</v>
      </c>
      <c r="I270" s="6">
        <f t="shared" si="23"/>
        <v>27</v>
      </c>
      <c r="J270" s="8" t="str">
        <f t="shared" si="24"/>
        <v>Merah (Sangat Besar)</v>
      </c>
    </row>
    <row r="271" spans="1:10" ht="15" customHeight="1" x14ac:dyDescent="0.35">
      <c r="A271" s="6">
        <v>269</v>
      </c>
      <c r="B271" s="6">
        <v>20</v>
      </c>
      <c r="C271" s="6">
        <v>2112</v>
      </c>
      <c r="D271" s="7">
        <v>1333.1385194055499</v>
      </c>
      <c r="E271" s="7">
        <f t="shared" si="20"/>
        <v>56.652173152645204</v>
      </c>
      <c r="F271" s="7">
        <f t="shared" si="21"/>
        <v>62.875</v>
      </c>
      <c r="G271" s="7">
        <f t="shared" si="22"/>
        <v>92.105882352941165</v>
      </c>
      <c r="H271" s="7">
        <f>E271*'AHP Bobot'!$B$29 + F271*'AHP Bobot'!$B$30 + G271*'AHP Bobot'!$B$31</f>
        <v>64.308592091734212</v>
      </c>
      <c r="I271" s="6">
        <f t="shared" si="23"/>
        <v>15</v>
      </c>
      <c r="J271" s="8" t="str">
        <f t="shared" si="24"/>
        <v>Merah (Sangat Besar)</v>
      </c>
    </row>
    <row r="272" spans="1:10" ht="15" customHeight="1" x14ac:dyDescent="0.35">
      <c r="A272" s="6">
        <v>270</v>
      </c>
      <c r="B272" s="6">
        <v>17</v>
      </c>
      <c r="C272" s="6">
        <v>2098</v>
      </c>
      <c r="D272" s="7">
        <v>1487.89380769748</v>
      </c>
      <c r="E272" s="7">
        <f t="shared" si="20"/>
        <v>65.359522148517485</v>
      </c>
      <c r="F272" s="7">
        <f t="shared" si="21"/>
        <v>53.59375</v>
      </c>
      <c r="G272" s="7">
        <f t="shared" si="22"/>
        <v>91.501960784313724</v>
      </c>
      <c r="H272" s="7">
        <f>E272*'AHP Bobot'!$B$29 + F272*'AHP Bobot'!$B$30 + G272*'AHP Bobot'!$B$31</f>
        <v>66.143674706336057</v>
      </c>
      <c r="I272" s="6">
        <f t="shared" si="23"/>
        <v>6</v>
      </c>
      <c r="J272" s="8" t="str">
        <f t="shared" si="24"/>
        <v>Merah (Sangat Besar)</v>
      </c>
    </row>
    <row r="273" spans="1:10" ht="15" customHeight="1" x14ac:dyDescent="0.35">
      <c r="A273" s="6">
        <v>271</v>
      </c>
      <c r="B273" s="6">
        <v>15</v>
      </c>
      <c r="C273" s="6">
        <v>2052</v>
      </c>
      <c r="D273" s="7">
        <v>1439.47627453724</v>
      </c>
      <c r="E273" s="7">
        <f t="shared" si="20"/>
        <v>62.635296285875903</v>
      </c>
      <c r="F273" s="7">
        <f t="shared" si="21"/>
        <v>47.40625</v>
      </c>
      <c r="G273" s="7">
        <f t="shared" si="22"/>
        <v>89.517647058823528</v>
      </c>
      <c r="H273" s="7">
        <f>E273*'AHP Bobot'!$B$29 + F273*'AHP Bobot'!$B$30 + G273*'AHP Bobot'!$B$31</f>
        <v>62.511145171646639</v>
      </c>
      <c r="I273" s="6">
        <f t="shared" si="23"/>
        <v>20</v>
      </c>
      <c r="J273" s="8" t="str">
        <f t="shared" si="24"/>
        <v>Merah (Sangat Besar)</v>
      </c>
    </row>
    <row r="274" spans="1:10" ht="15" customHeight="1" x14ac:dyDescent="0.35">
      <c r="A274" s="6">
        <v>272</v>
      </c>
      <c r="B274" s="6">
        <v>18</v>
      </c>
      <c r="C274" s="6">
        <v>2004</v>
      </c>
      <c r="D274" s="7">
        <v>1358.8701496185899</v>
      </c>
      <c r="E274" s="7">
        <f t="shared" si="20"/>
        <v>58.099970426461233</v>
      </c>
      <c r="F274" s="7">
        <f t="shared" si="21"/>
        <v>56.6875</v>
      </c>
      <c r="G274" s="7">
        <f t="shared" si="22"/>
        <v>87.447058823529417</v>
      </c>
      <c r="H274" s="7">
        <f>E274*'AHP Bobot'!$B$29 + F274*'AHP Bobot'!$B$30 + G274*'AHP Bobot'!$B$31</f>
        <v>62.486587490265308</v>
      </c>
      <c r="I274" s="6">
        <f t="shared" si="23"/>
        <v>21</v>
      </c>
      <c r="J274" s="8" t="str">
        <f t="shared" si="24"/>
        <v>Merah (Sangat Besar)</v>
      </c>
    </row>
    <row r="275" spans="1:10" ht="15" customHeight="1" x14ac:dyDescent="0.35">
      <c r="A275" s="6">
        <v>273</v>
      </c>
      <c r="B275" s="6">
        <v>18</v>
      </c>
      <c r="C275" s="6">
        <v>2053</v>
      </c>
      <c r="D275" s="7">
        <v>1292.10705138499</v>
      </c>
      <c r="E275" s="7">
        <f t="shared" si="20"/>
        <v>54.343526283053102</v>
      </c>
      <c r="F275" s="7">
        <f t="shared" si="21"/>
        <v>56.6875</v>
      </c>
      <c r="G275" s="7">
        <f t="shared" si="22"/>
        <v>89.560784313725492</v>
      </c>
      <c r="H275" s="7">
        <f>E275*'AHP Bobot'!$B$29 + F275*'AHP Bobot'!$B$30 + G275*'AHP Bobot'!$B$31</f>
        <v>60.808197815769375</v>
      </c>
      <c r="I275" s="6">
        <f t="shared" si="23"/>
        <v>24</v>
      </c>
      <c r="J275" s="8" t="str">
        <f t="shared" si="24"/>
        <v>Merah (Sangat Besar)</v>
      </c>
    </row>
    <row r="276" spans="1:10" ht="15" customHeight="1" x14ac:dyDescent="0.35">
      <c r="A276" s="6">
        <v>274</v>
      </c>
      <c r="B276" s="6">
        <v>8</v>
      </c>
      <c r="C276" s="6">
        <v>1624</v>
      </c>
      <c r="D276" s="7">
        <v>1137.91175367238</v>
      </c>
      <c r="E276" s="7">
        <f t="shared" si="20"/>
        <v>45.667685311639033</v>
      </c>
      <c r="F276" s="7">
        <f t="shared" si="21"/>
        <v>25.75</v>
      </c>
      <c r="G276" s="7">
        <f t="shared" si="22"/>
        <v>71.054901960784321</v>
      </c>
      <c r="H276" s="7">
        <f>E276*'AHP Bobot'!$B$29 + F276*'AHP Bobot'!$B$30 + G276*'AHP Bobot'!$B$31</f>
        <v>43.904923284915149</v>
      </c>
      <c r="I276" s="6">
        <f t="shared" si="23"/>
        <v>92</v>
      </c>
      <c r="J276" s="8" t="str">
        <f t="shared" si="24"/>
        <v>Oranye (Besar)</v>
      </c>
    </row>
    <row r="277" spans="1:10" ht="15" customHeight="1" x14ac:dyDescent="0.35">
      <c r="A277" s="6">
        <v>275</v>
      </c>
      <c r="B277" s="6">
        <v>3</v>
      </c>
      <c r="C277" s="6">
        <v>1108</v>
      </c>
      <c r="D277" s="7">
        <v>1107.24123407806</v>
      </c>
      <c r="E277" s="7">
        <f t="shared" si="20"/>
        <v>43.942000064045395</v>
      </c>
      <c r="F277" s="7">
        <f t="shared" si="21"/>
        <v>10.28125</v>
      </c>
      <c r="G277" s="7">
        <f t="shared" si="22"/>
        <v>48.79607843137255</v>
      </c>
      <c r="H277" s="7">
        <f>E277*'AHP Bobot'!$B$29 + F277*'AHP Bobot'!$B$30 + G277*'AHP Bobot'!$B$31</f>
        <v>34.731066992614345</v>
      </c>
      <c r="I277" s="6">
        <f t="shared" si="23"/>
        <v>151</v>
      </c>
      <c r="J277" s="8" t="str">
        <f t="shared" si="24"/>
        <v>Oranye (Besar)</v>
      </c>
    </row>
    <row r="278" spans="1:10" ht="15" customHeight="1" x14ac:dyDescent="0.35">
      <c r="A278" s="6">
        <v>276</v>
      </c>
      <c r="B278" s="6">
        <v>9</v>
      </c>
      <c r="C278" s="6">
        <v>1108</v>
      </c>
      <c r="D278" s="7">
        <v>1026.1764033982699</v>
      </c>
      <c r="E278" s="7">
        <f t="shared" si="20"/>
        <v>39.380864998413948</v>
      </c>
      <c r="F278" s="7">
        <f t="shared" si="21"/>
        <v>28.84375</v>
      </c>
      <c r="G278" s="7">
        <f t="shared" si="22"/>
        <v>48.79607843137255</v>
      </c>
      <c r="H278" s="7">
        <f>E278*'AHP Bobot'!$B$29 + F278*'AHP Bobot'!$B$30 + G278*'AHP Bobot'!$B$31</f>
        <v>37.79065004165713</v>
      </c>
      <c r="I278" s="6">
        <f t="shared" si="23"/>
        <v>123</v>
      </c>
      <c r="J278" s="8" t="str">
        <f t="shared" si="24"/>
        <v>Oranye (Besar)</v>
      </c>
    </row>
    <row r="279" spans="1:10" ht="15" customHeight="1" x14ac:dyDescent="0.35">
      <c r="A279" s="6">
        <v>277</v>
      </c>
      <c r="B279" s="6">
        <v>12</v>
      </c>
      <c r="C279" s="6">
        <v>1108</v>
      </c>
      <c r="D279" s="7">
        <v>948.12742695362203</v>
      </c>
      <c r="E279" s="7">
        <f t="shared" si="20"/>
        <v>34.989417803458203</v>
      </c>
      <c r="F279" s="7">
        <f t="shared" si="21"/>
        <v>38.125</v>
      </c>
      <c r="G279" s="7">
        <f t="shared" si="22"/>
        <v>48.79607843137255</v>
      </c>
      <c r="H279" s="7">
        <f>E279*'AHP Bobot'!$B$29 + F279*'AHP Bobot'!$B$30 + G279*'AHP Bobot'!$B$31</f>
        <v>38.182759670349817</v>
      </c>
      <c r="I279" s="6">
        <f t="shared" si="23"/>
        <v>121</v>
      </c>
      <c r="J279" s="8" t="str">
        <f t="shared" si="24"/>
        <v>Oranye (Besar)</v>
      </c>
    </row>
    <row r="280" spans="1:10" ht="15" customHeight="1" x14ac:dyDescent="0.35">
      <c r="A280" s="6">
        <v>278</v>
      </c>
      <c r="B280" s="6">
        <v>12</v>
      </c>
      <c r="C280" s="6">
        <v>1108</v>
      </c>
      <c r="D280" s="7">
        <v>856.78553792685898</v>
      </c>
      <c r="E280" s="7">
        <f t="shared" si="20"/>
        <v>29.850041214285213</v>
      </c>
      <c r="F280" s="7">
        <f t="shared" si="21"/>
        <v>38.125</v>
      </c>
      <c r="G280" s="7">
        <f t="shared" si="22"/>
        <v>48.79607843137255</v>
      </c>
      <c r="H280" s="7">
        <f>E280*'AHP Bobot'!$B$29 + F280*'AHP Bobot'!$B$30 + G280*'AHP Bobot'!$B$31</f>
        <v>35.4128359242371</v>
      </c>
      <c r="I280" s="6">
        <f t="shared" si="23"/>
        <v>142</v>
      </c>
      <c r="J280" s="8" t="str">
        <f t="shared" si="24"/>
        <v>Oranye (Besar)</v>
      </c>
    </row>
    <row r="281" spans="1:10" ht="15" customHeight="1" x14ac:dyDescent="0.35">
      <c r="A281" s="6">
        <v>279</v>
      </c>
      <c r="B281" s="6">
        <v>10</v>
      </c>
      <c r="C281" s="6">
        <v>1050</v>
      </c>
      <c r="D281" s="7">
        <v>852.89536732674298</v>
      </c>
      <c r="E281" s="7">
        <f t="shared" si="20"/>
        <v>29.631159692092616</v>
      </c>
      <c r="F281" s="7">
        <f t="shared" si="21"/>
        <v>31.9375</v>
      </c>
      <c r="G281" s="7">
        <f t="shared" si="22"/>
        <v>46.294117647058819</v>
      </c>
      <c r="H281" s="7">
        <f>E281*'AHP Bobot'!$B$29 + F281*'AHP Bobot'!$B$30 + G281*'AHP Bobot'!$B$31</f>
        <v>33.045808799332995</v>
      </c>
      <c r="I281" s="6">
        <f t="shared" si="23"/>
        <v>165</v>
      </c>
      <c r="J281" s="8" t="str">
        <f t="shared" si="24"/>
        <v>Kuning (Sedang)</v>
      </c>
    </row>
    <row r="282" spans="1:10" ht="15" customHeight="1" x14ac:dyDescent="0.35">
      <c r="A282" s="6">
        <v>280</v>
      </c>
      <c r="B282" s="6">
        <v>0</v>
      </c>
      <c r="C282" s="6">
        <v>309</v>
      </c>
      <c r="D282" s="7">
        <v>871.18262286885897</v>
      </c>
      <c r="E282" s="7">
        <f t="shared" si="20"/>
        <v>30.660097170994959</v>
      </c>
      <c r="F282" s="7">
        <f t="shared" si="21"/>
        <v>1</v>
      </c>
      <c r="G282" s="7">
        <f t="shared" si="22"/>
        <v>14.329411764705881</v>
      </c>
      <c r="H282" s="7">
        <f>E282*'AHP Bobot'!$B$29 + F282*'AHP Bobot'!$B$30 + G282*'AHP Bobot'!$B$31</f>
        <v>19.168736693594134</v>
      </c>
      <c r="I282" s="6">
        <f t="shared" si="23"/>
        <v>302</v>
      </c>
      <c r="J282" s="8" t="str">
        <f t="shared" si="24"/>
        <v>Hijau (Rendah)</v>
      </c>
    </row>
    <row r="283" spans="1:10" ht="15" customHeight="1" x14ac:dyDescent="0.35">
      <c r="A283" s="6">
        <v>281</v>
      </c>
      <c r="B283" s="6">
        <v>0</v>
      </c>
      <c r="C283" s="6">
        <v>0</v>
      </c>
      <c r="D283" s="7">
        <v>1134.9385349095801</v>
      </c>
      <c r="E283" s="7">
        <f t="shared" si="20"/>
        <v>45.500396337578657</v>
      </c>
      <c r="F283" s="7">
        <f t="shared" si="21"/>
        <v>1</v>
      </c>
      <c r="G283" s="7">
        <f t="shared" si="22"/>
        <v>1</v>
      </c>
      <c r="H283" s="7">
        <f>E283*'AHP Bobot'!$B$29 + F283*'AHP Bobot'!$B$30 + G283*'AHP Bobot'!$B$31</f>
        <v>24.983979844279403</v>
      </c>
      <c r="I283" s="6">
        <f t="shared" si="23"/>
        <v>237</v>
      </c>
      <c r="J283" s="8" t="str">
        <f t="shared" si="24"/>
        <v>Hijau (Rendah)</v>
      </c>
    </row>
    <row r="284" spans="1:10" ht="15" customHeight="1" x14ac:dyDescent="0.35">
      <c r="A284" s="6">
        <v>282</v>
      </c>
      <c r="B284" s="6">
        <v>6</v>
      </c>
      <c r="C284" s="6">
        <v>1198</v>
      </c>
      <c r="D284" s="7">
        <v>1147.3128043588699</v>
      </c>
      <c r="E284" s="7">
        <f t="shared" si="20"/>
        <v>46.19663802245519</v>
      </c>
      <c r="F284" s="7">
        <f t="shared" si="21"/>
        <v>19.5625</v>
      </c>
      <c r="G284" s="7">
        <f t="shared" si="22"/>
        <v>52.678431372549021</v>
      </c>
      <c r="H284" s="7">
        <f>E284*'AHP Bobot'!$B$29 + F284*'AHP Bobot'!$B$30 + G284*'AHP Bobot'!$B$31</f>
        <v>39.341011922325151</v>
      </c>
      <c r="I284" s="6">
        <f t="shared" si="23"/>
        <v>114</v>
      </c>
      <c r="J284" s="8" t="str">
        <f t="shared" si="24"/>
        <v>Oranye (Besar)</v>
      </c>
    </row>
    <row r="285" spans="1:10" ht="15" customHeight="1" x14ac:dyDescent="0.35">
      <c r="A285" s="6">
        <v>283</v>
      </c>
      <c r="B285" s="6">
        <v>5</v>
      </c>
      <c r="C285" s="6">
        <v>1383</v>
      </c>
      <c r="D285" s="7">
        <v>1171.75379601585</v>
      </c>
      <c r="E285" s="7">
        <f t="shared" si="20"/>
        <v>47.571817161801121</v>
      </c>
      <c r="F285" s="7">
        <f t="shared" si="21"/>
        <v>16.46875</v>
      </c>
      <c r="G285" s="7">
        <f t="shared" si="22"/>
        <v>60.658823529411762</v>
      </c>
      <c r="H285" s="7">
        <f>E285*'AHP Bobot'!$B$29 + F285*'AHP Bobot'!$B$30 + G285*'AHP Bobot'!$B$31</f>
        <v>40.469570967562703</v>
      </c>
      <c r="I285" s="6">
        <f t="shared" si="23"/>
        <v>105</v>
      </c>
      <c r="J285" s="8" t="str">
        <f t="shared" si="24"/>
        <v>Oranye (Besar)</v>
      </c>
    </row>
    <row r="286" spans="1:10" ht="15" customHeight="1" x14ac:dyDescent="0.35">
      <c r="A286" s="6">
        <v>284</v>
      </c>
      <c r="B286" s="6">
        <v>16</v>
      </c>
      <c r="C286" s="6">
        <v>1846</v>
      </c>
      <c r="D286" s="7">
        <v>1324.3404935554499</v>
      </c>
      <c r="E286" s="7">
        <f t="shared" si="20"/>
        <v>56.157149800635324</v>
      </c>
      <c r="F286" s="7">
        <f t="shared" si="21"/>
        <v>50.5</v>
      </c>
      <c r="G286" s="7">
        <f t="shared" si="22"/>
        <v>80.631372549019602</v>
      </c>
      <c r="H286" s="7">
        <f>E286*'AHP Bobot'!$B$29 + F286*'AHP Bobot'!$B$30 + G286*'AHP Bobot'!$B$31</f>
        <v>58.483919530809551</v>
      </c>
      <c r="I286" s="6">
        <f t="shared" si="23"/>
        <v>31</v>
      </c>
      <c r="J286" s="8" t="str">
        <f t="shared" si="24"/>
        <v>Merah (Sangat Besar)</v>
      </c>
    </row>
    <row r="287" spans="1:10" ht="15" customHeight="1" x14ac:dyDescent="0.35">
      <c r="A287" s="6">
        <v>285</v>
      </c>
      <c r="B287" s="6">
        <v>11</v>
      </c>
      <c r="C287" s="6">
        <v>1841</v>
      </c>
      <c r="D287" s="7">
        <v>1356.3413398499699</v>
      </c>
      <c r="E287" s="7">
        <f t="shared" si="20"/>
        <v>57.957686247079856</v>
      </c>
      <c r="F287" s="7">
        <f t="shared" si="21"/>
        <v>35.03125</v>
      </c>
      <c r="G287" s="7">
        <f t="shared" si="22"/>
        <v>80.415686274509795</v>
      </c>
      <c r="H287" s="7">
        <f>E287*'AHP Bobot'!$B$29 + F287*'AHP Bobot'!$B$30 + G287*'AHP Bobot'!$B$31</f>
        <v>54.820798997750636</v>
      </c>
      <c r="I287" s="6">
        <f t="shared" si="23"/>
        <v>50</v>
      </c>
      <c r="J287" s="8" t="str">
        <f t="shared" si="24"/>
        <v>Merah (Sangat Besar)</v>
      </c>
    </row>
    <row r="288" spans="1:10" ht="15" customHeight="1" x14ac:dyDescent="0.35">
      <c r="A288" s="6">
        <v>286</v>
      </c>
      <c r="B288" s="6">
        <v>13</v>
      </c>
      <c r="C288" s="6">
        <v>2090</v>
      </c>
      <c r="D288" s="7">
        <v>1460.7802439259999</v>
      </c>
      <c r="E288" s="7">
        <f t="shared" si="20"/>
        <v>63.833970001732283</v>
      </c>
      <c r="F288" s="7">
        <f t="shared" si="21"/>
        <v>41.21875</v>
      </c>
      <c r="G288" s="7">
        <f t="shared" si="22"/>
        <v>91.156862745098039</v>
      </c>
      <c r="H288" s="7">
        <f>E288*'AHP Bobot'!$B$29 + F288*'AHP Bobot'!$B$30 + G288*'AHP Bobot'!$B$31</f>
        <v>61.586369721811892</v>
      </c>
      <c r="I288" s="6">
        <f t="shared" si="23"/>
        <v>22</v>
      </c>
      <c r="J288" s="8" t="str">
        <f t="shared" si="24"/>
        <v>Merah (Sangat Besar)</v>
      </c>
    </row>
    <row r="289" spans="1:10" ht="15" customHeight="1" x14ac:dyDescent="0.35">
      <c r="A289" s="6">
        <v>287</v>
      </c>
      <c r="B289" s="6">
        <v>17</v>
      </c>
      <c r="C289" s="6">
        <v>1799</v>
      </c>
      <c r="D289" s="7">
        <v>1525.44449916383</v>
      </c>
      <c r="E289" s="7">
        <f t="shared" si="20"/>
        <v>67.472322164870022</v>
      </c>
      <c r="F289" s="7">
        <f t="shared" si="21"/>
        <v>53.59375</v>
      </c>
      <c r="G289" s="7">
        <f t="shared" si="22"/>
        <v>78.603921568627456</v>
      </c>
      <c r="H289" s="7">
        <f>E289*'AHP Bobot'!$B$29 + F289*'AHP Bobot'!$B$30 + G289*'AHP Bobot'!$B$31</f>
        <v>65.169942174052196</v>
      </c>
      <c r="I289" s="6">
        <f t="shared" si="23"/>
        <v>12</v>
      </c>
      <c r="J289" s="8" t="str">
        <f t="shared" si="24"/>
        <v>Merah (Sangat Besar)</v>
      </c>
    </row>
    <row r="290" spans="1:10" ht="15" customHeight="1" x14ac:dyDescent="0.35">
      <c r="A290" s="6">
        <v>288</v>
      </c>
      <c r="B290" s="6">
        <v>9</v>
      </c>
      <c r="C290" s="6">
        <v>1198</v>
      </c>
      <c r="D290" s="7">
        <v>1476.6123453775999</v>
      </c>
      <c r="E290" s="7">
        <f t="shared" si="20"/>
        <v>64.724767558304876</v>
      </c>
      <c r="F290" s="7">
        <f t="shared" si="21"/>
        <v>28.84375</v>
      </c>
      <c r="G290" s="7">
        <f t="shared" si="22"/>
        <v>52.678431372549021</v>
      </c>
      <c r="H290" s="7">
        <f>E290*'AHP Bobot'!$B$29 + F290*'AHP Bobot'!$B$30 + G290*'AHP Bobot'!$B$31</f>
        <v>52.085880438399975</v>
      </c>
      <c r="I290" s="6">
        <f t="shared" si="23"/>
        <v>62</v>
      </c>
      <c r="J290" s="8" t="str">
        <f t="shared" si="24"/>
        <v>Merah (Sangat Besar)</v>
      </c>
    </row>
    <row r="291" spans="1:10" ht="15" customHeight="1" x14ac:dyDescent="0.35">
      <c r="A291" s="6">
        <v>289</v>
      </c>
      <c r="B291" s="6">
        <v>18</v>
      </c>
      <c r="C291" s="6">
        <v>1239</v>
      </c>
      <c r="D291" s="7">
        <v>1479.6564783670599</v>
      </c>
      <c r="E291" s="7">
        <f t="shared" si="20"/>
        <v>64.896046540894957</v>
      </c>
      <c r="F291" s="7">
        <f t="shared" si="21"/>
        <v>56.6875</v>
      </c>
      <c r="G291" s="7">
        <f t="shared" si="22"/>
        <v>54.44705882352941</v>
      </c>
      <c r="H291" s="7">
        <f>E291*'AHP Bobot'!$B$29 + F291*'AHP Bobot'!$B$30 + G291*'AHP Bobot'!$B$31</f>
        <v>60.744645828996902</v>
      </c>
      <c r="I291" s="6">
        <f t="shared" si="23"/>
        <v>25</v>
      </c>
      <c r="J291" s="8" t="str">
        <f t="shared" si="24"/>
        <v>Merah (Sangat Besar)</v>
      </c>
    </row>
    <row r="292" spans="1:10" ht="15" customHeight="1" x14ac:dyDescent="0.35">
      <c r="A292" s="6">
        <v>290</v>
      </c>
      <c r="B292" s="6">
        <v>12</v>
      </c>
      <c r="C292" s="6">
        <v>1665</v>
      </c>
      <c r="D292" s="7">
        <v>1410.1810703326901</v>
      </c>
      <c r="E292" s="7">
        <f t="shared" si="20"/>
        <v>60.98699353816513</v>
      </c>
      <c r="F292" s="7">
        <f t="shared" si="21"/>
        <v>38.125</v>
      </c>
      <c r="G292" s="7">
        <f t="shared" si="22"/>
        <v>72.82352941176471</v>
      </c>
      <c r="H292" s="7">
        <f>E292*'AHP Bobot'!$B$29 + F292*'AHP Bobot'!$B$30 + G292*'AHP Bobot'!$B$31</f>
        <v>56.129671969321748</v>
      </c>
      <c r="I292" s="6">
        <f t="shared" si="23"/>
        <v>40</v>
      </c>
      <c r="J292" s="8" t="str">
        <f t="shared" si="24"/>
        <v>Merah (Sangat Besar)</v>
      </c>
    </row>
    <row r="293" spans="1:10" ht="15" customHeight="1" x14ac:dyDescent="0.35">
      <c r="A293" s="6">
        <v>291</v>
      </c>
      <c r="B293" s="6">
        <v>7</v>
      </c>
      <c r="C293" s="6">
        <v>1197</v>
      </c>
      <c r="D293" s="7">
        <v>1294.6991210782101</v>
      </c>
      <c r="E293" s="7">
        <f t="shared" si="20"/>
        <v>54.489369799546786</v>
      </c>
      <c r="F293" s="7">
        <f t="shared" si="21"/>
        <v>22.65625</v>
      </c>
      <c r="G293" s="7">
        <f t="shared" si="22"/>
        <v>52.635294117647064</v>
      </c>
      <c r="H293" s="7">
        <f>E293*'AHP Bobot'!$B$29 + F293*'AHP Bobot'!$B$30 + G293*'AHP Bobot'!$B$31</f>
        <v>44.723049065632992</v>
      </c>
      <c r="I293" s="6">
        <f t="shared" si="23"/>
        <v>89</v>
      </c>
      <c r="J293" s="8" t="str">
        <f t="shared" si="24"/>
        <v>Oranye (Besar)</v>
      </c>
    </row>
    <row r="294" spans="1:10" ht="15" customHeight="1" x14ac:dyDescent="0.35">
      <c r="A294" s="6">
        <v>292</v>
      </c>
      <c r="B294" s="6">
        <v>4</v>
      </c>
      <c r="C294" s="6">
        <v>1108</v>
      </c>
      <c r="D294" s="7">
        <v>1163.7628252838001</v>
      </c>
      <c r="E294" s="7">
        <f t="shared" si="20"/>
        <v>47.122202988691235</v>
      </c>
      <c r="F294" s="7">
        <f t="shared" si="21"/>
        <v>13.375</v>
      </c>
      <c r="G294" s="7">
        <f t="shared" si="22"/>
        <v>48.79607843137255</v>
      </c>
      <c r="H294" s="7">
        <f>E294*'AHP Bobot'!$B$29 + F294*'AHP Bobot'!$B$30 + G294*'AHP Bobot'!$B$31</f>
        <v>37.364715322131254</v>
      </c>
      <c r="I294" s="6">
        <f t="shared" si="23"/>
        <v>126</v>
      </c>
      <c r="J294" s="8" t="str">
        <f t="shared" si="24"/>
        <v>Oranye (Besar)</v>
      </c>
    </row>
    <row r="295" spans="1:10" ht="15" customHeight="1" x14ac:dyDescent="0.35">
      <c r="A295" s="6">
        <v>293</v>
      </c>
      <c r="B295" s="6">
        <v>5</v>
      </c>
      <c r="C295" s="6">
        <v>1108</v>
      </c>
      <c r="D295" s="7">
        <v>1056.59999415679</v>
      </c>
      <c r="E295" s="7">
        <f t="shared" si="20"/>
        <v>41.092656726928624</v>
      </c>
      <c r="F295" s="7">
        <f t="shared" si="21"/>
        <v>16.46875</v>
      </c>
      <c r="G295" s="7">
        <f t="shared" si="22"/>
        <v>48.79607843137255</v>
      </c>
      <c r="H295" s="7">
        <f>E295*'AHP Bobot'!$B$29 + F295*'AHP Bobot'!$B$30 + G295*'AHP Bobot'!$B$31</f>
        <v>35.034667661570886</v>
      </c>
      <c r="I295" s="6">
        <f t="shared" si="23"/>
        <v>145</v>
      </c>
      <c r="J295" s="8" t="str">
        <f t="shared" si="24"/>
        <v>Oranye (Besar)</v>
      </c>
    </row>
    <row r="296" spans="1:10" ht="15" customHeight="1" x14ac:dyDescent="0.35">
      <c r="A296" s="6">
        <v>294</v>
      </c>
      <c r="B296" s="6">
        <v>9</v>
      </c>
      <c r="C296" s="6">
        <v>1108</v>
      </c>
      <c r="D296" s="7">
        <v>970.727537522803</v>
      </c>
      <c r="E296" s="7">
        <f t="shared" si="20"/>
        <v>36.261019260462646</v>
      </c>
      <c r="F296" s="7">
        <f t="shared" si="21"/>
        <v>28.84375</v>
      </c>
      <c r="G296" s="7">
        <f t="shared" si="22"/>
        <v>48.79607843137255</v>
      </c>
      <c r="H296" s="7">
        <f>E296*'AHP Bobot'!$B$29 + F296*'AHP Bobot'!$B$30 + G296*'AHP Bobot'!$B$31</f>
        <v>36.10917474133273</v>
      </c>
      <c r="I296" s="6">
        <f t="shared" si="23"/>
        <v>135</v>
      </c>
      <c r="J296" s="8" t="str">
        <f t="shared" si="24"/>
        <v>Oranye (Besar)</v>
      </c>
    </row>
    <row r="297" spans="1:10" ht="15" customHeight="1" x14ac:dyDescent="0.35">
      <c r="A297" s="6">
        <v>295</v>
      </c>
      <c r="B297" s="6">
        <v>8</v>
      </c>
      <c r="C297" s="6">
        <v>1108</v>
      </c>
      <c r="D297" s="7">
        <v>912.96068617412402</v>
      </c>
      <c r="E297" s="7">
        <f t="shared" si="20"/>
        <v>33.0107514302818</v>
      </c>
      <c r="F297" s="7">
        <f t="shared" si="21"/>
        <v>25.75</v>
      </c>
      <c r="G297" s="7">
        <f t="shared" si="22"/>
        <v>48.79607843137255</v>
      </c>
      <c r="H297" s="7">
        <f>E297*'AHP Bobot'!$B$29 + F297*'AHP Bobot'!$B$30 + G297*'AHP Bobot'!$B$31</f>
        <v>33.437764157533962</v>
      </c>
      <c r="I297" s="6">
        <f t="shared" si="23"/>
        <v>162</v>
      </c>
      <c r="J297" s="8" t="str">
        <f t="shared" si="24"/>
        <v>Kuning (Sedang)</v>
      </c>
    </row>
    <row r="298" spans="1:10" ht="15" customHeight="1" x14ac:dyDescent="0.35">
      <c r="A298" s="6">
        <v>296</v>
      </c>
      <c r="B298" s="6">
        <v>6</v>
      </c>
      <c r="C298" s="6">
        <v>823</v>
      </c>
      <c r="D298" s="7">
        <v>914.18011521260496</v>
      </c>
      <c r="E298" s="7">
        <f t="shared" si="20"/>
        <v>33.079362941597168</v>
      </c>
      <c r="F298" s="7">
        <f t="shared" si="21"/>
        <v>19.5625</v>
      </c>
      <c r="G298" s="7">
        <f t="shared" si="22"/>
        <v>36.501960784313731</v>
      </c>
      <c r="H298" s="7">
        <f>E298*'AHP Bobot'!$B$29 + F298*'AHP Bobot'!$B$30 + G298*'AHP Bobot'!$B$31</f>
        <v>29.621918625838603</v>
      </c>
      <c r="I298" s="6">
        <f t="shared" si="23"/>
        <v>197</v>
      </c>
      <c r="J298" s="8" t="str">
        <f t="shared" si="24"/>
        <v>Kuning (Sedang)</v>
      </c>
    </row>
    <row r="299" spans="1:10" ht="15" customHeight="1" x14ac:dyDescent="0.35">
      <c r="A299" s="6">
        <v>297</v>
      </c>
      <c r="B299" s="6">
        <v>1</v>
      </c>
      <c r="C299" s="6">
        <v>111</v>
      </c>
      <c r="D299" s="7">
        <v>912.96889165209598</v>
      </c>
      <c r="E299" s="7">
        <f t="shared" si="20"/>
        <v>33.011213113763951</v>
      </c>
      <c r="F299" s="7">
        <f t="shared" si="21"/>
        <v>4.09375</v>
      </c>
      <c r="G299" s="7">
        <f t="shared" si="22"/>
        <v>5.7882352941176469</v>
      </c>
      <c r="H299" s="7">
        <f>E299*'AHP Bobot'!$B$29 + F299*'AHP Bobot'!$B$30 + G299*'AHP Bobot'!$B$31</f>
        <v>19.956659890148899</v>
      </c>
      <c r="I299" s="6">
        <f t="shared" si="23"/>
        <v>291</v>
      </c>
      <c r="J299" s="8" t="str">
        <f t="shared" si="24"/>
        <v>Hijau (Rendah)</v>
      </c>
    </row>
    <row r="300" spans="1:10" ht="15" customHeight="1" x14ac:dyDescent="0.35">
      <c r="A300" s="6">
        <v>298</v>
      </c>
      <c r="B300" s="6">
        <v>0</v>
      </c>
      <c r="C300" s="6">
        <v>314</v>
      </c>
      <c r="D300" s="7">
        <v>1203.7930882952601</v>
      </c>
      <c r="E300" s="7">
        <f t="shared" si="20"/>
        <v>49.374516782193538</v>
      </c>
      <c r="F300" s="7">
        <f t="shared" si="21"/>
        <v>1</v>
      </c>
      <c r="G300" s="7">
        <f t="shared" si="22"/>
        <v>14.545098039215686</v>
      </c>
      <c r="H300" s="7">
        <f>E300*'AHP Bobot'!$B$29 + F300*'AHP Bobot'!$B$30 + G300*'AHP Bobot'!$B$31</f>
        <v>29.290404972006158</v>
      </c>
      <c r="I300" s="6">
        <f t="shared" si="23"/>
        <v>202</v>
      </c>
      <c r="J300" s="8" t="str">
        <f t="shared" si="24"/>
        <v>Kuning (Sedang)</v>
      </c>
    </row>
    <row r="301" spans="1:10" ht="15" customHeight="1" x14ac:dyDescent="0.35">
      <c r="A301" s="6">
        <v>299</v>
      </c>
      <c r="B301" s="6">
        <v>9</v>
      </c>
      <c r="C301" s="6">
        <v>1313</v>
      </c>
      <c r="D301" s="7">
        <v>1256.9165576420401</v>
      </c>
      <c r="E301" s="7">
        <f t="shared" si="20"/>
        <v>52.363523442834143</v>
      </c>
      <c r="F301" s="7">
        <f t="shared" si="21"/>
        <v>28.84375</v>
      </c>
      <c r="G301" s="7">
        <f t="shared" si="22"/>
        <v>57.639215686274511</v>
      </c>
      <c r="H301" s="7">
        <f>E301*'AHP Bobot'!$B$29 + F301*'AHP Bobot'!$B$30 + G301*'AHP Bobot'!$B$31</f>
        <v>46.236132014849503</v>
      </c>
      <c r="I301" s="6">
        <f t="shared" si="23"/>
        <v>81</v>
      </c>
      <c r="J301" s="8" t="str">
        <f t="shared" si="24"/>
        <v>Oranye (Besar)</v>
      </c>
    </row>
    <row r="302" spans="1:10" ht="15" customHeight="1" x14ac:dyDescent="0.35">
      <c r="A302" s="6">
        <v>300</v>
      </c>
      <c r="B302" s="6">
        <v>12</v>
      </c>
      <c r="C302" s="6">
        <v>1510</v>
      </c>
      <c r="D302" s="7">
        <v>1351.6565404104899</v>
      </c>
      <c r="E302" s="7">
        <f t="shared" si="20"/>
        <v>57.69409471398621</v>
      </c>
      <c r="F302" s="7">
        <f t="shared" si="21"/>
        <v>38.125</v>
      </c>
      <c r="G302" s="7">
        <f t="shared" si="22"/>
        <v>66.137254901960773</v>
      </c>
      <c r="H302" s="7">
        <f>E302*'AHP Bobot'!$B$29 + F302*'AHP Bobot'!$B$30 + G302*'AHP Bobot'!$B$31</f>
        <v>53.25984532041327</v>
      </c>
      <c r="I302" s="6">
        <f t="shared" si="23"/>
        <v>55</v>
      </c>
      <c r="J302" s="8" t="str">
        <f t="shared" si="24"/>
        <v>Merah (Sangat Besar)</v>
      </c>
    </row>
    <row r="303" spans="1:10" ht="15" customHeight="1" x14ac:dyDescent="0.35">
      <c r="A303" s="6">
        <v>301</v>
      </c>
      <c r="B303" s="6">
        <v>14</v>
      </c>
      <c r="C303" s="6">
        <v>1580</v>
      </c>
      <c r="D303" s="7">
        <v>1413.07459941357</v>
      </c>
      <c r="E303" s="7">
        <f t="shared" si="20"/>
        <v>61.149798750284283</v>
      </c>
      <c r="F303" s="7">
        <f t="shared" si="21"/>
        <v>44.3125</v>
      </c>
      <c r="G303" s="7">
        <f t="shared" si="22"/>
        <v>69.156862745098039</v>
      </c>
      <c r="H303" s="7">
        <f>E303*'AHP Bobot'!$B$29 + F303*'AHP Bobot'!$B$30 + G303*'AHP Bobot'!$B$31</f>
        <v>57.456174249350369</v>
      </c>
      <c r="I303" s="6">
        <f t="shared" si="23"/>
        <v>34</v>
      </c>
      <c r="J303" s="8" t="str">
        <f t="shared" si="24"/>
        <v>Merah (Sangat Besar)</v>
      </c>
    </row>
    <row r="304" spans="1:10" ht="15" customHeight="1" x14ac:dyDescent="0.35">
      <c r="A304" s="6">
        <v>302</v>
      </c>
      <c r="B304" s="6">
        <v>10</v>
      </c>
      <c r="C304" s="6">
        <v>1592</v>
      </c>
      <c r="D304" s="7">
        <v>1464.5700737251</v>
      </c>
      <c r="E304" s="7">
        <f t="shared" si="20"/>
        <v>64.047205821069667</v>
      </c>
      <c r="F304" s="7">
        <f t="shared" si="21"/>
        <v>31.9375</v>
      </c>
      <c r="G304" s="7">
        <f t="shared" si="22"/>
        <v>69.674509803921566</v>
      </c>
      <c r="H304" s="7">
        <f>E304*'AHP Bobot'!$B$29 + F304*'AHP Bobot'!$B$30 + G304*'AHP Bobot'!$B$31</f>
        <v>55.423972924840719</v>
      </c>
      <c r="I304" s="6">
        <f t="shared" si="23"/>
        <v>46</v>
      </c>
      <c r="J304" s="8" t="str">
        <f t="shared" si="24"/>
        <v>Merah (Sangat Besar)</v>
      </c>
    </row>
    <row r="305" spans="1:10" ht="15" customHeight="1" x14ac:dyDescent="0.35">
      <c r="A305" s="6">
        <v>303</v>
      </c>
      <c r="B305" s="6">
        <v>16</v>
      </c>
      <c r="C305" s="6">
        <v>1604</v>
      </c>
      <c r="D305" s="7">
        <v>1571.0359960471001</v>
      </c>
      <c r="E305" s="7">
        <f t="shared" si="20"/>
        <v>70.037540316627087</v>
      </c>
      <c r="F305" s="7">
        <f t="shared" si="21"/>
        <v>50.5</v>
      </c>
      <c r="G305" s="7">
        <f t="shared" si="22"/>
        <v>70.192156862745094</v>
      </c>
      <c r="H305" s="7">
        <f>E305*'AHP Bobot'!$B$29 + F305*'AHP Bobot'!$B$30 + G305*'AHP Bobot'!$B$31</f>
        <v>64.255167550045869</v>
      </c>
      <c r="I305" s="6">
        <f t="shared" si="23"/>
        <v>16</v>
      </c>
      <c r="J305" s="8" t="str">
        <f t="shared" si="24"/>
        <v>Merah (Sangat Besar)</v>
      </c>
    </row>
    <row r="306" spans="1:10" ht="15" customHeight="1" x14ac:dyDescent="0.35">
      <c r="A306" s="6">
        <v>304</v>
      </c>
      <c r="B306" s="6">
        <v>19</v>
      </c>
      <c r="C306" s="6">
        <v>1392</v>
      </c>
      <c r="D306" s="7">
        <v>1562.6993015242499</v>
      </c>
      <c r="E306" s="7">
        <f t="shared" si="20"/>
        <v>69.568473899035595</v>
      </c>
      <c r="F306" s="7">
        <f t="shared" si="21"/>
        <v>59.78125</v>
      </c>
      <c r="G306" s="7">
        <f t="shared" si="22"/>
        <v>61.047058823529404</v>
      </c>
      <c r="H306" s="7">
        <f>E306*'AHP Bobot'!$B$29 + F306*'AHP Bobot'!$B$30 + G306*'AHP Bobot'!$B$31</f>
        <v>65.263497370505604</v>
      </c>
      <c r="I306" s="6">
        <f t="shared" si="23"/>
        <v>9</v>
      </c>
      <c r="J306" s="8" t="str">
        <f t="shared" si="24"/>
        <v>Merah (Sangat Besar)</v>
      </c>
    </row>
    <row r="307" spans="1:10" ht="15" customHeight="1" x14ac:dyDescent="0.35">
      <c r="A307" s="6">
        <v>305</v>
      </c>
      <c r="B307" s="6">
        <v>6</v>
      </c>
      <c r="C307" s="6">
        <v>1108</v>
      </c>
      <c r="D307" s="7">
        <v>1494.69251435044</v>
      </c>
      <c r="E307" s="7">
        <f t="shared" si="20"/>
        <v>65.742053254247509</v>
      </c>
      <c r="F307" s="7">
        <f t="shared" si="21"/>
        <v>19.5625</v>
      </c>
      <c r="G307" s="7">
        <f t="shared" si="22"/>
        <v>48.79607843137255</v>
      </c>
      <c r="H307" s="7">
        <f>E307*'AHP Bobot'!$B$29 + F307*'AHP Bobot'!$B$30 + G307*'AHP Bobot'!$B$31</f>
        <v>49.23937488084016</v>
      </c>
      <c r="I307" s="6">
        <f t="shared" si="23"/>
        <v>71</v>
      </c>
      <c r="J307" s="8" t="str">
        <f t="shared" si="24"/>
        <v>Merah (Sangat Besar)</v>
      </c>
    </row>
    <row r="308" spans="1:10" ht="15" customHeight="1" x14ac:dyDescent="0.35">
      <c r="A308" s="6">
        <v>306</v>
      </c>
      <c r="B308" s="6">
        <v>22</v>
      </c>
      <c r="C308" s="6">
        <v>1108</v>
      </c>
      <c r="D308" s="7">
        <v>1537.44548601818</v>
      </c>
      <c r="E308" s="7">
        <f t="shared" si="20"/>
        <v>68.147561001546023</v>
      </c>
      <c r="F308" s="7">
        <f t="shared" si="21"/>
        <v>69.0625</v>
      </c>
      <c r="G308" s="7">
        <f t="shared" si="22"/>
        <v>48.79607843137255</v>
      </c>
      <c r="H308" s="7">
        <f>E308*'AHP Bobot'!$B$29 + F308*'AHP Bobot'!$B$30 + G308*'AHP Bobot'!$B$31</f>
        <v>65.250135549838717</v>
      </c>
      <c r="I308" s="6">
        <f t="shared" si="23"/>
        <v>10</v>
      </c>
      <c r="J308" s="8" t="str">
        <f t="shared" si="24"/>
        <v>Merah (Sangat Besar)</v>
      </c>
    </row>
    <row r="309" spans="1:10" ht="15" customHeight="1" x14ac:dyDescent="0.35">
      <c r="A309" s="6">
        <v>307</v>
      </c>
      <c r="B309" s="6">
        <v>11</v>
      </c>
      <c r="C309" s="6">
        <v>1108</v>
      </c>
      <c r="D309" s="7">
        <v>1354.6537816513701</v>
      </c>
      <c r="E309" s="7">
        <f t="shared" si="20"/>
        <v>57.862735319404059</v>
      </c>
      <c r="F309" s="7">
        <f t="shared" si="21"/>
        <v>35.03125</v>
      </c>
      <c r="G309" s="7">
        <f t="shared" si="22"/>
        <v>48.79607843137255</v>
      </c>
      <c r="H309" s="7">
        <f>E309*'AHP Bobot'!$B$29 + F309*'AHP Bobot'!$B$30 + G309*'AHP Bobot'!$B$31</f>
        <v>49.590943786086868</v>
      </c>
      <c r="I309" s="6">
        <f t="shared" si="23"/>
        <v>69</v>
      </c>
      <c r="J309" s="8" t="str">
        <f t="shared" si="24"/>
        <v>Merah (Sangat Besar)</v>
      </c>
    </row>
    <row r="310" spans="1:10" ht="15" customHeight="1" x14ac:dyDescent="0.35">
      <c r="A310" s="6">
        <v>308</v>
      </c>
      <c r="B310" s="6">
        <v>9</v>
      </c>
      <c r="C310" s="6">
        <v>1108</v>
      </c>
      <c r="D310" s="7">
        <v>1249.2755432517699</v>
      </c>
      <c r="E310" s="7">
        <f t="shared" si="20"/>
        <v>51.933599659854551</v>
      </c>
      <c r="F310" s="7">
        <f t="shared" si="21"/>
        <v>28.84375</v>
      </c>
      <c r="G310" s="7">
        <f t="shared" si="22"/>
        <v>48.79607843137255</v>
      </c>
      <c r="H310" s="7">
        <f>E310*'AHP Bobot'!$B$29 + F310*'AHP Bobot'!$B$30 + G310*'AHP Bobot'!$B$31</f>
        <v>44.556084956589409</v>
      </c>
      <c r="I310" s="6">
        <f t="shared" si="23"/>
        <v>91</v>
      </c>
      <c r="J310" s="8" t="str">
        <f t="shared" si="24"/>
        <v>Oranye (Besar)</v>
      </c>
    </row>
    <row r="311" spans="1:10" ht="15" customHeight="1" x14ac:dyDescent="0.35">
      <c r="A311" s="6">
        <v>309</v>
      </c>
      <c r="B311" s="6">
        <v>4</v>
      </c>
      <c r="C311" s="6">
        <v>1108</v>
      </c>
      <c r="D311" s="7">
        <v>1129.4528468501301</v>
      </c>
      <c r="E311" s="7">
        <f t="shared" si="20"/>
        <v>45.191742585300965</v>
      </c>
      <c r="F311" s="7">
        <f t="shared" si="21"/>
        <v>13.375</v>
      </c>
      <c r="G311" s="7">
        <f t="shared" si="22"/>
        <v>48.79607843137255</v>
      </c>
      <c r="H311" s="7">
        <f>E311*'AHP Bobot'!$B$29 + F311*'AHP Bobot'!$B$30 + G311*'AHP Bobot'!$B$31</f>
        <v>36.324272377446889</v>
      </c>
      <c r="I311" s="6">
        <f t="shared" si="23"/>
        <v>131</v>
      </c>
      <c r="J311" s="8" t="str">
        <f t="shared" si="24"/>
        <v>Oranye (Besar)</v>
      </c>
    </row>
    <row r="312" spans="1:10" ht="15" customHeight="1" x14ac:dyDescent="0.35">
      <c r="A312" s="6">
        <v>310</v>
      </c>
      <c r="B312" s="6">
        <v>11</v>
      </c>
      <c r="C312" s="6">
        <v>1108</v>
      </c>
      <c r="D312" s="7">
        <v>1038.9357003570401</v>
      </c>
      <c r="E312" s="7">
        <f t="shared" si="20"/>
        <v>40.098770362348304</v>
      </c>
      <c r="F312" s="7">
        <f t="shared" si="21"/>
        <v>35.03125</v>
      </c>
      <c r="G312" s="7">
        <f t="shared" si="22"/>
        <v>48.79607843137255</v>
      </c>
      <c r="H312" s="7">
        <f>E312*'AHP Bobot'!$B$29 + F312*'AHP Bobot'!$B$30 + G312*'AHP Bobot'!$B$31</f>
        <v>40.016858776764614</v>
      </c>
      <c r="I312" s="6">
        <f t="shared" si="23"/>
        <v>107</v>
      </c>
      <c r="J312" s="8" t="str">
        <f t="shared" si="24"/>
        <v>Oranye (Besar)</v>
      </c>
    </row>
    <row r="313" spans="1:10" ht="15" customHeight="1" x14ac:dyDescent="0.35">
      <c r="A313" s="6">
        <v>311</v>
      </c>
      <c r="B313" s="6">
        <v>5</v>
      </c>
      <c r="C313" s="6">
        <v>1108</v>
      </c>
      <c r="D313" s="7">
        <v>994.38047796449302</v>
      </c>
      <c r="E313" s="7">
        <f t="shared" si="20"/>
        <v>37.591858480740946</v>
      </c>
      <c r="F313" s="7">
        <f t="shared" si="21"/>
        <v>16.46875</v>
      </c>
      <c r="G313" s="7">
        <f t="shared" si="22"/>
        <v>48.79607843137255</v>
      </c>
      <c r="H313" s="7">
        <f>E313*'AHP Bobot'!$B$29 + F313*'AHP Bobot'!$B$30 + G313*'AHP Bobot'!$B$31</f>
        <v>33.147873801612597</v>
      </c>
      <c r="I313" s="6">
        <f t="shared" si="23"/>
        <v>163</v>
      </c>
      <c r="J313" s="8" t="str">
        <f t="shared" si="24"/>
        <v>Kuning (Sedang)</v>
      </c>
    </row>
    <row r="314" spans="1:10" ht="15" customHeight="1" x14ac:dyDescent="0.35">
      <c r="A314" s="6">
        <v>312</v>
      </c>
      <c r="B314" s="6">
        <v>2</v>
      </c>
      <c r="C314" s="6">
        <v>425</v>
      </c>
      <c r="D314" s="7">
        <v>968.72735059215802</v>
      </c>
      <c r="E314" s="7">
        <f t="shared" si="20"/>
        <v>36.148478190917707</v>
      </c>
      <c r="F314" s="7">
        <f t="shared" si="21"/>
        <v>7.1875</v>
      </c>
      <c r="G314" s="7">
        <f t="shared" si="22"/>
        <v>19.333333333333332</v>
      </c>
      <c r="H314" s="7">
        <f>E314*'AHP Bobot'!$B$29 + F314*'AHP Bobot'!$B$30 + G314*'AHP Bobot'!$B$31</f>
        <v>24.785591540607644</v>
      </c>
      <c r="I314" s="6">
        <f t="shared" si="23"/>
        <v>241</v>
      </c>
      <c r="J314" s="8" t="str">
        <f t="shared" si="24"/>
        <v>Hijau (Rendah)</v>
      </c>
    </row>
    <row r="315" spans="1:10" ht="15" customHeight="1" x14ac:dyDescent="0.35">
      <c r="A315" s="6">
        <v>313</v>
      </c>
      <c r="B315" s="6">
        <v>1</v>
      </c>
      <c r="C315" s="6">
        <v>935</v>
      </c>
      <c r="D315" s="7">
        <v>1291.3172829791999</v>
      </c>
      <c r="E315" s="7">
        <f t="shared" si="20"/>
        <v>54.29908974578818</v>
      </c>
      <c r="F315" s="7">
        <f t="shared" si="21"/>
        <v>4.09375</v>
      </c>
      <c r="G315" s="7">
        <f t="shared" si="22"/>
        <v>41.333333333333329</v>
      </c>
      <c r="H315" s="7">
        <f>E315*'AHP Bobot'!$B$29 + F315*'AHP Bobot'!$B$30 + G315*'AHP Bobot'!$B$31</f>
        <v>37.251595748030617</v>
      </c>
      <c r="I315" s="6">
        <f t="shared" si="23"/>
        <v>127</v>
      </c>
      <c r="J315" s="8" t="str">
        <f t="shared" si="24"/>
        <v>Oranye (Besar)</v>
      </c>
    </row>
    <row r="316" spans="1:10" ht="15" customHeight="1" x14ac:dyDescent="0.35">
      <c r="A316" s="6">
        <v>314</v>
      </c>
      <c r="B316" s="6">
        <v>7</v>
      </c>
      <c r="C316" s="6">
        <v>1313</v>
      </c>
      <c r="D316" s="7">
        <v>1406.1735313978099</v>
      </c>
      <c r="E316" s="7">
        <f t="shared" si="20"/>
        <v>60.76150825423273</v>
      </c>
      <c r="F316" s="7">
        <f t="shared" si="21"/>
        <v>22.65625</v>
      </c>
      <c r="G316" s="7">
        <f t="shared" si="22"/>
        <v>57.639215686274511</v>
      </c>
      <c r="H316" s="7">
        <f>E316*'AHP Bobot'!$B$29 + F316*'AHP Bobot'!$B$30 + G316*'AHP Bobot'!$B$31</f>
        <v>48.923032919694194</v>
      </c>
      <c r="I316" s="6">
        <f t="shared" si="23"/>
        <v>72</v>
      </c>
      <c r="J316" s="8" t="str">
        <f t="shared" si="24"/>
        <v>Merah (Sangat Besar)</v>
      </c>
    </row>
    <row r="317" spans="1:10" ht="15" customHeight="1" x14ac:dyDescent="0.35">
      <c r="A317" s="6">
        <v>315</v>
      </c>
      <c r="B317" s="6">
        <v>15</v>
      </c>
      <c r="C317" s="6">
        <v>1513</v>
      </c>
      <c r="D317" s="7">
        <v>1574.3027857812001</v>
      </c>
      <c r="E317" s="7">
        <f t="shared" si="20"/>
        <v>70.22134714238986</v>
      </c>
      <c r="F317" s="7">
        <f t="shared" si="21"/>
        <v>47.40625</v>
      </c>
      <c r="G317" s="7">
        <f t="shared" si="22"/>
        <v>66.266666666666666</v>
      </c>
      <c r="H317" s="7">
        <f>E317*'AHP Bobot'!$B$29 + F317*'AHP Bobot'!$B$30 + G317*'AHP Bobot'!$B$31</f>
        <v>62.791670020706036</v>
      </c>
      <c r="I317" s="6">
        <f t="shared" si="23"/>
        <v>19</v>
      </c>
      <c r="J317" s="8" t="str">
        <f t="shared" si="24"/>
        <v>Merah (Sangat Besar)</v>
      </c>
    </row>
    <row r="318" spans="1:10" ht="15" customHeight="1" x14ac:dyDescent="0.35">
      <c r="A318" s="6">
        <v>316</v>
      </c>
      <c r="B318" s="6">
        <v>14</v>
      </c>
      <c r="C318" s="6">
        <v>1580</v>
      </c>
      <c r="D318" s="7">
        <v>1545.51185053225</v>
      </c>
      <c r="E318" s="7">
        <f t="shared" si="20"/>
        <v>68.601417226603957</v>
      </c>
      <c r="F318" s="7">
        <f t="shared" si="21"/>
        <v>44.3125</v>
      </c>
      <c r="G318" s="7">
        <f t="shared" si="22"/>
        <v>69.156862745098039</v>
      </c>
      <c r="H318" s="7">
        <f>E318*'AHP Bobot'!$B$29 + F318*'AHP Bobot'!$B$30 + G318*'AHP Bobot'!$B$31</f>
        <v>61.472306285288894</v>
      </c>
      <c r="I318" s="6">
        <f t="shared" si="23"/>
        <v>23</v>
      </c>
      <c r="J318" s="8" t="str">
        <f t="shared" si="24"/>
        <v>Merah (Sangat Besar)</v>
      </c>
    </row>
    <row r="319" spans="1:10" ht="15" customHeight="1" x14ac:dyDescent="0.35">
      <c r="A319" s="6">
        <v>317</v>
      </c>
      <c r="B319" s="6">
        <v>23</v>
      </c>
      <c r="C319" s="6">
        <v>1580</v>
      </c>
      <c r="D319" s="7">
        <v>1658.6996527075901</v>
      </c>
      <c r="E319" s="7">
        <f t="shared" si="20"/>
        <v>74.969960146812724</v>
      </c>
      <c r="F319" s="7">
        <f t="shared" si="21"/>
        <v>72.15625</v>
      </c>
      <c r="G319" s="7">
        <f t="shared" si="22"/>
        <v>69.156862745098039</v>
      </c>
      <c r="H319" s="7">
        <f>E319*'AHP Bobot'!$B$29 + F319*'AHP Bobot'!$B$30 + G319*'AHP Bobot'!$B$31</f>
        <v>73.181488508518299</v>
      </c>
      <c r="I319" s="6">
        <f t="shared" si="23"/>
        <v>5</v>
      </c>
      <c r="J319" s="8" t="str">
        <f t="shared" si="24"/>
        <v>Merah (Sangat Besar)</v>
      </c>
    </row>
    <row r="320" spans="1:10" ht="15" customHeight="1" x14ac:dyDescent="0.35">
      <c r="A320" s="6">
        <v>318</v>
      </c>
      <c r="B320" s="6">
        <v>25</v>
      </c>
      <c r="C320" s="6">
        <v>1580</v>
      </c>
      <c r="D320" s="7">
        <v>2103.5573281349498</v>
      </c>
      <c r="E320" s="7">
        <f t="shared" si="20"/>
        <v>100</v>
      </c>
      <c r="F320" s="7">
        <f t="shared" si="21"/>
        <v>78.34375</v>
      </c>
      <c r="G320" s="7">
        <f t="shared" si="22"/>
        <v>69.156862745098039</v>
      </c>
      <c r="H320" s="7">
        <f>E320*'AHP Bobot'!$B$29 + F320*'AHP Bobot'!$B$30 + G320*'AHP Bobot'!$B$31</f>
        <v>88.510990507314034</v>
      </c>
      <c r="I320" s="6">
        <f t="shared" si="23"/>
        <v>1</v>
      </c>
      <c r="J320" s="8" t="str">
        <f t="shared" si="24"/>
        <v>Merah (Sangat Besar)</v>
      </c>
    </row>
    <row r="321" spans="1:10" ht="15" customHeight="1" x14ac:dyDescent="0.35">
      <c r="A321" s="6">
        <v>319</v>
      </c>
      <c r="B321" s="6">
        <v>9</v>
      </c>
      <c r="C321" s="6">
        <v>1478</v>
      </c>
      <c r="D321" s="7">
        <v>1613.0683723326299</v>
      </c>
      <c r="E321" s="7">
        <f t="shared" si="20"/>
        <v>72.402503565918636</v>
      </c>
      <c r="F321" s="7">
        <f t="shared" si="21"/>
        <v>28.84375</v>
      </c>
      <c r="G321" s="7">
        <f t="shared" si="22"/>
        <v>64.756862745098033</v>
      </c>
      <c r="H321" s="7">
        <f>E321*'AHP Bobot'!$B$29 + F321*'AHP Bobot'!$B$30 + G321*'AHP Bobot'!$B$31</f>
        <v>58.202094521557342</v>
      </c>
      <c r="I321" s="6">
        <f t="shared" si="23"/>
        <v>32</v>
      </c>
      <c r="J321" s="8" t="str">
        <f t="shared" si="24"/>
        <v>Merah (Sangat Besar)</v>
      </c>
    </row>
    <row r="322" spans="1:10" ht="15" customHeight="1" x14ac:dyDescent="0.35">
      <c r="A322" s="6">
        <v>320</v>
      </c>
      <c r="B322" s="6">
        <v>24</v>
      </c>
      <c r="C322" s="6">
        <v>1108</v>
      </c>
      <c r="D322" s="7">
        <v>1475.1091703550001</v>
      </c>
      <c r="E322" s="7">
        <f t="shared" ref="E322:E379" si="25">1+($D322-MIN($D$2:$D$379))/(MAX($D$2:$D$379)-MIN($D$2:$D$379))*99</f>
        <v>64.64019100090178</v>
      </c>
      <c r="F322" s="7">
        <f t="shared" ref="F322:F379" si="26">1+($B322-MIN($B$2:$B$379))/(MAX($B$2:$B$379)-MIN($B$2:$B$379))*99</f>
        <v>75.25</v>
      </c>
      <c r="G322" s="7">
        <f t="shared" ref="G322:G379" si="27">1+($C322-MIN($C$2:$C$379))/(MAX($C$2:$C$379)-MIN($C$2:$C$379))*99</f>
        <v>48.79607843137255</v>
      </c>
      <c r="H322" s="7">
        <f>E322*'AHP Bobot'!$B$29 + F322*'AHP Bobot'!$B$30 + G322*'AHP Bobot'!$B$31</f>
        <v>65.19908548455642</v>
      </c>
      <c r="I322" s="6">
        <f t="shared" ref="I322:I379" si="28">RANK(H322,$H$2:$H$379)</f>
        <v>11</v>
      </c>
      <c r="J322" s="8" t="str">
        <f t="shared" ref="J322:J379" si="29">CHOOSE(MIN(5,ROUNDUP(I322*5/378,0)),"Merah (Sangat Besar)","Oranye (Besar)","Kuning (Sedang)","Hijau (Rendah)","Hijau Muda (Sangat Rendah)")</f>
        <v>Merah (Sangat Besar)</v>
      </c>
    </row>
    <row r="323" spans="1:10" ht="15" customHeight="1" x14ac:dyDescent="0.35">
      <c r="A323" s="6">
        <v>321</v>
      </c>
      <c r="B323" s="6">
        <v>18</v>
      </c>
      <c r="C323" s="6">
        <v>1108</v>
      </c>
      <c r="D323" s="7">
        <v>1353.79352433957</v>
      </c>
      <c r="E323" s="7">
        <f t="shared" si="25"/>
        <v>57.814332704393166</v>
      </c>
      <c r="F323" s="7">
        <f t="shared" si="26"/>
        <v>56.6875</v>
      </c>
      <c r="G323" s="7">
        <f t="shared" si="27"/>
        <v>48.79607843137255</v>
      </c>
      <c r="H323" s="7">
        <f>E323*'AHP Bobot'!$B$29 + F323*'AHP Bobot'!$B$30 + G323*'AHP Bobot'!$B$31</f>
        <v>56.002356662412161</v>
      </c>
      <c r="I323" s="6">
        <f t="shared" si="28"/>
        <v>42</v>
      </c>
      <c r="J323" s="8" t="str">
        <f t="shared" si="29"/>
        <v>Merah (Sangat Besar)</v>
      </c>
    </row>
    <row r="324" spans="1:10" ht="15" customHeight="1" x14ac:dyDescent="0.35">
      <c r="A324" s="6">
        <v>322</v>
      </c>
      <c r="B324" s="6">
        <v>15</v>
      </c>
      <c r="C324" s="6">
        <v>1108</v>
      </c>
      <c r="D324" s="7">
        <v>1113.0452575683601</v>
      </c>
      <c r="E324" s="7">
        <f t="shared" si="25"/>
        <v>44.268565047175088</v>
      </c>
      <c r="F324" s="7">
        <f t="shared" si="26"/>
        <v>47.40625</v>
      </c>
      <c r="G324" s="7">
        <f t="shared" si="27"/>
        <v>48.79607843137255</v>
      </c>
      <c r="H324" s="7">
        <f>E324*'AHP Bobot'!$B$29 + F324*'AHP Bobot'!$B$30 + G324*'AHP Bobot'!$B$31</f>
        <v>45.942787080924504</v>
      </c>
      <c r="I324" s="6">
        <f t="shared" si="28"/>
        <v>84</v>
      </c>
      <c r="J324" s="8" t="str">
        <f t="shared" si="29"/>
        <v>Oranye (Besar)</v>
      </c>
    </row>
    <row r="325" spans="1:10" ht="15" customHeight="1" x14ac:dyDescent="0.35">
      <c r="A325" s="6">
        <v>323</v>
      </c>
      <c r="B325" s="6">
        <v>7</v>
      </c>
      <c r="C325" s="6">
        <v>1108</v>
      </c>
      <c r="D325" s="7">
        <v>1148.27479466256</v>
      </c>
      <c r="E325" s="7">
        <f t="shared" si="25"/>
        <v>46.250764672324976</v>
      </c>
      <c r="F325" s="7">
        <f t="shared" si="26"/>
        <v>22.65625</v>
      </c>
      <c r="G325" s="7">
        <f t="shared" si="27"/>
        <v>48.79607843137255</v>
      </c>
      <c r="H325" s="7">
        <f>E325*'AHP Bobot'!$B$29 + F325*'AHP Bobot'!$B$30 + G325*'AHP Bobot'!$B$31</f>
        <v>39.653972593180612</v>
      </c>
      <c r="I325" s="6">
        <f t="shared" si="28"/>
        <v>111</v>
      </c>
      <c r="J325" s="8" t="str">
        <f t="shared" si="29"/>
        <v>Oranye (Besar)</v>
      </c>
    </row>
    <row r="326" spans="1:10" ht="15" customHeight="1" x14ac:dyDescent="0.35">
      <c r="A326" s="6">
        <v>324</v>
      </c>
      <c r="B326" s="6">
        <v>20</v>
      </c>
      <c r="C326" s="6">
        <v>1108</v>
      </c>
      <c r="D326" s="7">
        <v>1048.28347265159</v>
      </c>
      <c r="E326" s="7">
        <f t="shared" si="25"/>
        <v>40.624725349741368</v>
      </c>
      <c r="F326" s="7">
        <f t="shared" si="26"/>
        <v>62.875</v>
      </c>
      <c r="G326" s="7">
        <f t="shared" si="27"/>
        <v>48.79607843137255</v>
      </c>
      <c r="H326" s="7">
        <f>E326*'AHP Bobot'!$B$29 + F326*'AHP Bobot'!$B$30 + G326*'AHP Bobot'!$B$31</f>
        <v>48.577113737502437</v>
      </c>
      <c r="I326" s="6">
        <f t="shared" si="28"/>
        <v>74</v>
      </c>
      <c r="J326" s="8" t="str">
        <f t="shared" si="29"/>
        <v>Merah (Sangat Besar)</v>
      </c>
    </row>
    <row r="327" spans="1:10" ht="15" customHeight="1" x14ac:dyDescent="0.35">
      <c r="A327" s="6">
        <v>325</v>
      </c>
      <c r="B327" s="6">
        <v>12</v>
      </c>
      <c r="C327" s="6">
        <v>1108</v>
      </c>
      <c r="D327" s="7">
        <v>999.101079268847</v>
      </c>
      <c r="E327" s="7">
        <f t="shared" si="25"/>
        <v>37.857464415640194</v>
      </c>
      <c r="F327" s="7">
        <f t="shared" si="26"/>
        <v>38.125</v>
      </c>
      <c r="G327" s="7">
        <f t="shared" si="27"/>
        <v>48.79607843137255</v>
      </c>
      <c r="H327" s="7">
        <f>E327*'AHP Bobot'!$B$29 + F327*'AHP Bobot'!$B$30 + G327*'AHP Bobot'!$B$31</f>
        <v>39.728525052240109</v>
      </c>
      <c r="I327" s="6">
        <f t="shared" si="28"/>
        <v>109</v>
      </c>
      <c r="J327" s="8" t="str">
        <f t="shared" si="29"/>
        <v>Oranye (Besar)</v>
      </c>
    </row>
    <row r="328" spans="1:10" ht="15" customHeight="1" x14ac:dyDescent="0.35">
      <c r="A328" s="6">
        <v>326</v>
      </c>
      <c r="B328" s="6">
        <v>10</v>
      </c>
      <c r="C328" s="6">
        <v>488</v>
      </c>
      <c r="D328" s="7">
        <v>997.18276901779302</v>
      </c>
      <c r="E328" s="7">
        <f t="shared" si="25"/>
        <v>37.749530160063884</v>
      </c>
      <c r="F328" s="7">
        <f t="shared" si="26"/>
        <v>31.9375</v>
      </c>
      <c r="G328" s="7">
        <f t="shared" si="27"/>
        <v>22.050980392156863</v>
      </c>
      <c r="H328" s="7">
        <f>E328*'AHP Bobot'!$B$29 + F328*'AHP Bobot'!$B$30 + G328*'AHP Bobot'!$B$31</f>
        <v>33.450737069687825</v>
      </c>
      <c r="I328" s="6">
        <f t="shared" si="28"/>
        <v>161</v>
      </c>
      <c r="J328" s="8" t="str">
        <f t="shared" si="29"/>
        <v>Kuning (Sedang)</v>
      </c>
    </row>
    <row r="329" spans="1:10" ht="15" customHeight="1" x14ac:dyDescent="0.35">
      <c r="A329" s="6">
        <v>327</v>
      </c>
      <c r="B329" s="6">
        <v>0</v>
      </c>
      <c r="C329" s="6">
        <v>18</v>
      </c>
      <c r="D329" s="7">
        <v>1287.1268231639101</v>
      </c>
      <c r="E329" s="7">
        <f t="shared" si="25"/>
        <v>54.063312368047931</v>
      </c>
      <c r="F329" s="7">
        <f t="shared" si="26"/>
        <v>1</v>
      </c>
      <c r="G329" s="7">
        <f t="shared" si="27"/>
        <v>1.776470588235294</v>
      </c>
      <c r="H329" s="7">
        <f>E329*'AHP Bobot'!$B$29 + F329*'AHP Bobot'!$B$30 + G329*'AHP Bobot'!$B$31</f>
        <v>29.726228832944599</v>
      </c>
      <c r="I329" s="6">
        <f t="shared" si="28"/>
        <v>195</v>
      </c>
      <c r="J329" s="8" t="str">
        <f t="shared" si="29"/>
        <v>Kuning (Sedang)</v>
      </c>
    </row>
    <row r="330" spans="1:10" ht="15" customHeight="1" x14ac:dyDescent="0.35">
      <c r="A330" s="6">
        <v>328</v>
      </c>
      <c r="B330" s="6">
        <v>17</v>
      </c>
      <c r="C330" s="6">
        <v>1274</v>
      </c>
      <c r="D330" s="7">
        <v>1377.84880904132</v>
      </c>
      <c r="E330" s="7">
        <f t="shared" si="25"/>
        <v>59.167809935478708</v>
      </c>
      <c r="F330" s="7">
        <f t="shared" si="26"/>
        <v>53.59375</v>
      </c>
      <c r="G330" s="7">
        <f t="shared" si="27"/>
        <v>55.956862745098036</v>
      </c>
      <c r="H330" s="7">
        <f>E330*'AHP Bobot'!$B$29 + F330*'AHP Bobot'!$B$30 + G330*'AHP Bobot'!$B$31</f>
        <v>56.984983308037414</v>
      </c>
      <c r="I330" s="6">
        <f t="shared" si="28"/>
        <v>35</v>
      </c>
      <c r="J330" s="8" t="str">
        <f t="shared" si="29"/>
        <v>Merah (Sangat Besar)</v>
      </c>
    </row>
    <row r="331" spans="1:10" ht="15" customHeight="1" x14ac:dyDescent="0.35">
      <c r="A331" s="6">
        <v>329</v>
      </c>
      <c r="B331" s="6">
        <v>12</v>
      </c>
      <c r="C331" s="6">
        <v>1313</v>
      </c>
      <c r="D331" s="7">
        <v>1515.33492974877</v>
      </c>
      <c r="E331" s="7">
        <f t="shared" si="25"/>
        <v>66.903504452296161</v>
      </c>
      <c r="F331" s="7">
        <f t="shared" si="26"/>
        <v>38.125</v>
      </c>
      <c r="G331" s="7">
        <f t="shared" si="27"/>
        <v>57.639215686274511</v>
      </c>
      <c r="H331" s="7">
        <f>E331*'AHP Bobot'!$B$29 + F331*'AHP Bobot'!$B$30 + G331*'AHP Bobot'!$B$31</f>
        <v>56.831543857611507</v>
      </c>
      <c r="I331" s="6">
        <f t="shared" si="28"/>
        <v>36</v>
      </c>
      <c r="J331" s="8" t="str">
        <f t="shared" si="29"/>
        <v>Merah (Sangat Besar)</v>
      </c>
    </row>
    <row r="332" spans="1:10" ht="15" customHeight="1" x14ac:dyDescent="0.35">
      <c r="A332" s="6">
        <v>330</v>
      </c>
      <c r="B332" s="6">
        <v>6</v>
      </c>
      <c r="C332" s="6">
        <v>1476</v>
      </c>
      <c r="D332" s="7">
        <v>1635.3921949641699</v>
      </c>
      <c r="E332" s="7">
        <f t="shared" si="25"/>
        <v>73.658559605878253</v>
      </c>
      <c r="F332" s="7">
        <f t="shared" si="26"/>
        <v>19.5625</v>
      </c>
      <c r="G332" s="7">
        <f t="shared" si="27"/>
        <v>64.670588235294119</v>
      </c>
      <c r="H332" s="7">
        <f>E332*'AHP Bobot'!$B$29 + F332*'AHP Bobot'!$B$30 + G332*'AHP Bobot'!$B$31</f>
        <v>56.106001121935655</v>
      </c>
      <c r="I332" s="6">
        <f t="shared" si="28"/>
        <v>41</v>
      </c>
      <c r="J332" s="8" t="str">
        <f t="shared" si="29"/>
        <v>Merah (Sangat Besar)</v>
      </c>
    </row>
    <row r="333" spans="1:10" ht="15" customHeight="1" x14ac:dyDescent="0.35">
      <c r="A333" s="6">
        <v>331</v>
      </c>
      <c r="B333" s="6">
        <v>12</v>
      </c>
      <c r="C333" s="6">
        <v>1505</v>
      </c>
      <c r="D333" s="7">
        <v>1688.9499445436199</v>
      </c>
      <c r="E333" s="7">
        <f t="shared" si="25"/>
        <v>76.672001163636779</v>
      </c>
      <c r="F333" s="7">
        <f t="shared" si="26"/>
        <v>38.125</v>
      </c>
      <c r="G333" s="7">
        <f t="shared" si="27"/>
        <v>65.921568627450981</v>
      </c>
      <c r="H333" s="7">
        <f>E333*'AHP Bobot'!$B$29 + F333*'AHP Bobot'!$B$30 + G333*'AHP Bobot'!$B$31</f>
        <v>63.452872256614754</v>
      </c>
      <c r="I333" s="6">
        <f t="shared" si="28"/>
        <v>17</v>
      </c>
      <c r="J333" s="8" t="str">
        <f t="shared" si="29"/>
        <v>Merah (Sangat Besar)</v>
      </c>
    </row>
    <row r="334" spans="1:10" ht="15" customHeight="1" x14ac:dyDescent="0.35">
      <c r="A334" s="6">
        <v>332</v>
      </c>
      <c r="B334" s="6">
        <v>31</v>
      </c>
      <c r="C334" s="6">
        <v>1555</v>
      </c>
      <c r="D334" s="7">
        <v>1778.6919437168101</v>
      </c>
      <c r="E334" s="7">
        <f t="shared" si="25"/>
        <v>81.721359508756393</v>
      </c>
      <c r="F334" s="7">
        <f t="shared" si="26"/>
        <v>96.90625</v>
      </c>
      <c r="G334" s="7">
        <f t="shared" si="27"/>
        <v>68.078431372549019</v>
      </c>
      <c r="H334" s="7">
        <f>E334*'AHP Bobot'!$B$29 + F334*'AHP Bobot'!$B$30 + G334*'AHP Bobot'!$B$31</f>
        <v>84.000746374177254</v>
      </c>
      <c r="I334" s="6">
        <f t="shared" si="28"/>
        <v>2</v>
      </c>
      <c r="J334" s="8" t="str">
        <f t="shared" si="29"/>
        <v>Merah (Sangat Besar)</v>
      </c>
    </row>
    <row r="335" spans="1:10" ht="15" customHeight="1" x14ac:dyDescent="0.35">
      <c r="A335" s="6">
        <v>333</v>
      </c>
      <c r="B335" s="6">
        <v>21</v>
      </c>
      <c r="C335" s="6">
        <v>1580</v>
      </c>
      <c r="D335" s="7">
        <v>1746.9970928303301</v>
      </c>
      <c r="E335" s="7">
        <f t="shared" si="25"/>
        <v>79.938039978375571</v>
      </c>
      <c r="F335" s="7">
        <f t="shared" si="26"/>
        <v>65.96875</v>
      </c>
      <c r="G335" s="7">
        <f t="shared" si="27"/>
        <v>69.156862745098039</v>
      </c>
      <c r="H335" s="7">
        <f>E335*'AHP Bobot'!$B$29 + F335*'AHP Bobot'!$B$30 + G335*'AHP Bobot'!$B$31</f>
        <v>74.019804261893086</v>
      </c>
      <c r="I335" s="6">
        <f t="shared" si="28"/>
        <v>3</v>
      </c>
      <c r="J335" s="8" t="str">
        <f t="shared" si="29"/>
        <v>Merah (Sangat Besar)</v>
      </c>
    </row>
    <row r="336" spans="1:10" ht="15" customHeight="1" x14ac:dyDescent="0.35">
      <c r="A336" s="6">
        <v>334</v>
      </c>
      <c r="B336" s="6">
        <v>13</v>
      </c>
      <c r="C336" s="6">
        <v>1191</v>
      </c>
      <c r="D336" s="7">
        <v>1480.8789264269101</v>
      </c>
      <c r="E336" s="7">
        <f t="shared" si="25"/>
        <v>64.964827918280662</v>
      </c>
      <c r="F336" s="7">
        <f t="shared" si="26"/>
        <v>41.21875</v>
      </c>
      <c r="G336" s="7">
        <f t="shared" si="27"/>
        <v>52.3764705882353</v>
      </c>
      <c r="H336" s="7">
        <f>E336*'AHP Bobot'!$B$29 + F336*'AHP Bobot'!$B$30 + G336*'AHP Bobot'!$B$31</f>
        <v>55.84437971030669</v>
      </c>
      <c r="I336" s="6">
        <f t="shared" si="28"/>
        <v>43</v>
      </c>
      <c r="J336" s="8" t="str">
        <f t="shared" si="29"/>
        <v>Merah (Sangat Besar)</v>
      </c>
    </row>
    <row r="337" spans="1:10" ht="15" customHeight="1" x14ac:dyDescent="0.35">
      <c r="A337" s="6">
        <v>335</v>
      </c>
      <c r="B337" s="6">
        <v>16</v>
      </c>
      <c r="C337" s="6">
        <v>1108</v>
      </c>
      <c r="D337" s="7">
        <v>1377.1968447663101</v>
      </c>
      <c r="E337" s="7">
        <f t="shared" si="25"/>
        <v>59.131126985655087</v>
      </c>
      <c r="F337" s="7">
        <f t="shared" si="26"/>
        <v>50.5</v>
      </c>
      <c r="G337" s="7">
        <f t="shared" si="27"/>
        <v>48.79607843137255</v>
      </c>
      <c r="H337" s="7">
        <f>E337*'AHP Bobot'!$B$29 + F337*'AHP Bobot'!$B$30 + G337*'AHP Bobot'!$B$31</f>
        <v>54.872771762053333</v>
      </c>
      <c r="I337" s="6">
        <f t="shared" si="28"/>
        <v>49</v>
      </c>
      <c r="J337" s="8" t="str">
        <f t="shared" si="29"/>
        <v>Merah (Sangat Besar)</v>
      </c>
    </row>
    <row r="338" spans="1:10" ht="15" customHeight="1" x14ac:dyDescent="0.35">
      <c r="A338" s="6">
        <v>336</v>
      </c>
      <c r="B338" s="6">
        <v>17</v>
      </c>
      <c r="C338" s="6">
        <v>1108</v>
      </c>
      <c r="D338" s="7">
        <v>1245.0687805564501</v>
      </c>
      <c r="E338" s="7">
        <f t="shared" si="25"/>
        <v>51.696904996071112</v>
      </c>
      <c r="F338" s="7">
        <f t="shared" si="26"/>
        <v>53.59375</v>
      </c>
      <c r="G338" s="7">
        <f t="shared" si="27"/>
        <v>48.79607843137255</v>
      </c>
      <c r="H338" s="7">
        <f>E338*'AHP Bobot'!$B$29 + F338*'AHP Bobot'!$B$30 + G338*'AHP Bobot'!$B$31</f>
        <v>51.78565861182301</v>
      </c>
      <c r="I338" s="6">
        <f t="shared" si="28"/>
        <v>63</v>
      </c>
      <c r="J338" s="8" t="str">
        <f t="shared" si="29"/>
        <v>Merah (Sangat Besar)</v>
      </c>
    </row>
    <row r="339" spans="1:10" ht="15" customHeight="1" x14ac:dyDescent="0.35">
      <c r="A339" s="6">
        <v>337</v>
      </c>
      <c r="B339" s="6">
        <v>5</v>
      </c>
      <c r="C339" s="6">
        <v>826</v>
      </c>
      <c r="D339" s="7">
        <v>1163.9550092729201</v>
      </c>
      <c r="E339" s="7">
        <f t="shared" si="25"/>
        <v>47.133016273866531</v>
      </c>
      <c r="F339" s="7">
        <f t="shared" si="26"/>
        <v>16.46875</v>
      </c>
      <c r="G339" s="7">
        <f t="shared" si="27"/>
        <v>36.631372549019609</v>
      </c>
      <c r="H339" s="7">
        <f>E339*'AHP Bobot'!$B$29 + F339*'AHP Bobot'!$B$30 + G339*'AHP Bobot'!$B$31</f>
        <v>36.297842514578463</v>
      </c>
      <c r="I339" s="6">
        <f t="shared" si="28"/>
        <v>132</v>
      </c>
      <c r="J339" s="8" t="str">
        <f t="shared" si="29"/>
        <v>Oranye (Besar)</v>
      </c>
    </row>
    <row r="340" spans="1:10" ht="15" customHeight="1" x14ac:dyDescent="0.35">
      <c r="A340" s="6">
        <v>338</v>
      </c>
      <c r="B340" s="6">
        <v>6</v>
      </c>
      <c r="C340" s="6">
        <v>761</v>
      </c>
      <c r="D340" s="7">
        <v>1095.74623934387</v>
      </c>
      <c r="E340" s="7">
        <f t="shared" si="25"/>
        <v>43.295231013623713</v>
      </c>
      <c r="F340" s="7">
        <f t="shared" si="26"/>
        <v>19.5625</v>
      </c>
      <c r="G340" s="7">
        <f t="shared" si="27"/>
        <v>33.827450980392157</v>
      </c>
      <c r="H340" s="7">
        <f>E340*'AHP Bobot'!$B$29 + F340*'AHP Bobot'!$B$30 + G340*'AHP Bobot'!$B$31</f>
        <v>34.689840504852768</v>
      </c>
      <c r="I340" s="6">
        <f t="shared" si="28"/>
        <v>152</v>
      </c>
      <c r="J340" s="8" t="str">
        <f t="shared" si="29"/>
        <v>Kuning (Sedang)</v>
      </c>
    </row>
    <row r="341" spans="1:10" ht="15" customHeight="1" x14ac:dyDescent="0.35">
      <c r="A341" s="6">
        <v>339</v>
      </c>
      <c r="B341" s="6">
        <v>8</v>
      </c>
      <c r="C341" s="6">
        <v>772</v>
      </c>
      <c r="D341" s="7">
        <v>949.608267975339</v>
      </c>
      <c r="E341" s="7">
        <f t="shared" si="25"/>
        <v>35.072737732139224</v>
      </c>
      <c r="F341" s="7">
        <f t="shared" si="26"/>
        <v>25.75</v>
      </c>
      <c r="G341" s="7">
        <f t="shared" si="27"/>
        <v>34.301960784313721</v>
      </c>
      <c r="H341" s="7">
        <f>E341*'AHP Bobot'!$B$29 + F341*'AHP Bobot'!$B$30 + G341*'AHP Bobot'!$B$31</f>
        <v>32.175238227956143</v>
      </c>
      <c r="I341" s="6">
        <f t="shared" si="28"/>
        <v>175</v>
      </c>
      <c r="J341" s="8" t="str">
        <f t="shared" si="29"/>
        <v>Kuning (Sedang)</v>
      </c>
    </row>
    <row r="342" spans="1:10" ht="15" customHeight="1" x14ac:dyDescent="0.35">
      <c r="A342" s="6">
        <v>340</v>
      </c>
      <c r="B342" s="6">
        <v>6</v>
      </c>
      <c r="C342" s="6">
        <v>538</v>
      </c>
      <c r="D342" s="7">
        <v>968.99617878863296</v>
      </c>
      <c r="E342" s="7">
        <f t="shared" si="25"/>
        <v>36.163603883567532</v>
      </c>
      <c r="F342" s="7">
        <f t="shared" si="26"/>
        <v>19.5625</v>
      </c>
      <c r="G342" s="7">
        <f t="shared" si="27"/>
        <v>24.207843137254901</v>
      </c>
      <c r="H342" s="7">
        <f>E342*'AHP Bobot'!$B$29 + F342*'AHP Bobot'!$B$30 + G342*'AHP Bobot'!$B$31</f>
        <v>29.270665579496253</v>
      </c>
      <c r="I342" s="6">
        <f t="shared" si="28"/>
        <v>203</v>
      </c>
      <c r="J342" s="8" t="str">
        <f t="shared" si="29"/>
        <v>Kuning (Sedang)</v>
      </c>
    </row>
    <row r="343" spans="1:10" ht="15" customHeight="1" x14ac:dyDescent="0.35">
      <c r="A343" s="6">
        <v>341</v>
      </c>
      <c r="B343" s="6">
        <v>0</v>
      </c>
      <c r="C343" s="6">
        <v>660</v>
      </c>
      <c r="D343" s="7">
        <v>1339.0772283154599</v>
      </c>
      <c r="E343" s="7">
        <f t="shared" si="25"/>
        <v>56.986316248071681</v>
      </c>
      <c r="F343" s="7">
        <f t="shared" si="26"/>
        <v>1</v>
      </c>
      <c r="G343" s="7">
        <f t="shared" si="27"/>
        <v>29.470588235294116</v>
      </c>
      <c r="H343" s="7">
        <f>E343*'AHP Bobot'!$B$29 + F343*'AHP Bobot'!$B$30 + G343*'AHP Bobot'!$B$31</f>
        <v>35.837375012064435</v>
      </c>
      <c r="I343" s="6">
        <f t="shared" si="28"/>
        <v>139</v>
      </c>
      <c r="J343" s="8" t="str">
        <f t="shared" si="29"/>
        <v>Oranye (Besar)</v>
      </c>
    </row>
    <row r="344" spans="1:10" ht="15" customHeight="1" x14ac:dyDescent="0.35">
      <c r="A344" s="6">
        <v>342</v>
      </c>
      <c r="B344" s="6">
        <v>11</v>
      </c>
      <c r="C344" s="6">
        <v>1313</v>
      </c>
      <c r="D344" s="7">
        <v>1436.73058189219</v>
      </c>
      <c r="E344" s="7">
        <f t="shared" si="25"/>
        <v>62.48080913160981</v>
      </c>
      <c r="F344" s="7">
        <f t="shared" si="26"/>
        <v>35.03125</v>
      </c>
      <c r="G344" s="7">
        <f t="shared" si="27"/>
        <v>57.639215686274511</v>
      </c>
      <c r="H344" s="7">
        <f>E344*'AHP Bobot'!$B$29 + F344*'AHP Bobot'!$B$30 + G344*'AHP Bobot'!$B$31</f>
        <v>53.528240535423407</v>
      </c>
      <c r="I344" s="6">
        <f t="shared" si="28"/>
        <v>53</v>
      </c>
      <c r="J344" s="8" t="str">
        <f t="shared" si="29"/>
        <v>Merah (Sangat Besar)</v>
      </c>
    </row>
    <row r="345" spans="1:10" ht="15" customHeight="1" x14ac:dyDescent="0.35">
      <c r="A345" s="6">
        <v>343</v>
      </c>
      <c r="B345" s="6">
        <v>7</v>
      </c>
      <c r="C345" s="6">
        <v>1313</v>
      </c>
      <c r="D345" s="7">
        <v>1591.2592284224399</v>
      </c>
      <c r="E345" s="7">
        <f t="shared" si="25"/>
        <v>71.175406066226088</v>
      </c>
      <c r="F345" s="7">
        <f t="shared" si="26"/>
        <v>22.65625</v>
      </c>
      <c r="G345" s="7">
        <f t="shared" si="27"/>
        <v>57.639215686274511</v>
      </c>
      <c r="H345" s="7">
        <f>E345*'AHP Bobot'!$B$29 + F345*'AHP Bobot'!$B$30 + G345*'AHP Bobot'!$B$31</f>
        <v>54.535718104080232</v>
      </c>
      <c r="I345" s="6">
        <f t="shared" si="28"/>
        <v>51</v>
      </c>
      <c r="J345" s="8" t="str">
        <f t="shared" si="29"/>
        <v>Merah (Sangat Besar)</v>
      </c>
    </row>
    <row r="346" spans="1:10" ht="15" customHeight="1" x14ac:dyDescent="0.35">
      <c r="A346" s="6">
        <v>344</v>
      </c>
      <c r="B346" s="6">
        <v>19</v>
      </c>
      <c r="C346" s="6">
        <v>1313</v>
      </c>
      <c r="D346" s="7">
        <v>1856.0906553398099</v>
      </c>
      <c r="E346" s="7">
        <f t="shared" si="25"/>
        <v>86.07621937410083</v>
      </c>
      <c r="F346" s="7">
        <f t="shared" si="26"/>
        <v>59.78125</v>
      </c>
      <c r="G346" s="7">
        <f t="shared" si="27"/>
        <v>57.639215686274511</v>
      </c>
      <c r="H346" s="7">
        <f>E346*'AHP Bobot'!$B$29 + F346*'AHP Bobot'!$B$30 + G346*'AHP Bobot'!$B$31</f>
        <v>73.602390211571162</v>
      </c>
      <c r="I346" s="6">
        <f t="shared" si="28"/>
        <v>4</v>
      </c>
      <c r="J346" s="8" t="str">
        <f t="shared" si="29"/>
        <v>Merah (Sangat Besar)</v>
      </c>
    </row>
    <row r="347" spans="1:10" ht="15" customHeight="1" x14ac:dyDescent="0.35">
      <c r="A347" s="6">
        <v>345</v>
      </c>
      <c r="B347" s="6">
        <v>13</v>
      </c>
      <c r="C347" s="6">
        <v>1326</v>
      </c>
      <c r="D347" s="7">
        <v>1694.52122429526</v>
      </c>
      <c r="E347" s="7">
        <f t="shared" si="25"/>
        <v>76.985470756092042</v>
      </c>
      <c r="F347" s="7">
        <f t="shared" si="26"/>
        <v>41.21875</v>
      </c>
      <c r="G347" s="7">
        <f t="shared" si="27"/>
        <v>58.199999999999996</v>
      </c>
      <c r="H347" s="7">
        <f>E347*'AHP Bobot'!$B$29 + F347*'AHP Bobot'!$B$30 + G347*'AHP Bobot'!$B$31</f>
        <v>63.276819375758123</v>
      </c>
      <c r="I347" s="6">
        <f t="shared" si="28"/>
        <v>18</v>
      </c>
      <c r="J347" s="8" t="str">
        <f t="shared" si="29"/>
        <v>Merah (Sangat Besar)</v>
      </c>
    </row>
    <row r="348" spans="1:10" ht="15" customHeight="1" x14ac:dyDescent="0.35">
      <c r="A348" s="6">
        <v>346</v>
      </c>
      <c r="B348" s="6">
        <v>10</v>
      </c>
      <c r="C348" s="6">
        <v>1580</v>
      </c>
      <c r="D348" s="7">
        <v>1575.4959079222101</v>
      </c>
      <c r="E348" s="7">
        <f t="shared" si="25"/>
        <v>70.288478488860406</v>
      </c>
      <c r="F348" s="7">
        <f t="shared" si="26"/>
        <v>31.9375</v>
      </c>
      <c r="G348" s="7">
        <f t="shared" si="27"/>
        <v>69.156862745098039</v>
      </c>
      <c r="H348" s="7">
        <f>E348*'AHP Bobot'!$B$29 + F348*'AHP Bobot'!$B$30 + G348*'AHP Bobot'!$B$31</f>
        <v>58.702995147414128</v>
      </c>
      <c r="I348" s="6">
        <f t="shared" si="28"/>
        <v>29</v>
      </c>
      <c r="J348" s="8" t="str">
        <f t="shared" si="29"/>
        <v>Merah (Sangat Besar)</v>
      </c>
    </row>
    <row r="349" spans="1:10" ht="15" customHeight="1" x14ac:dyDescent="0.35">
      <c r="A349" s="6">
        <v>347</v>
      </c>
      <c r="B349" s="6">
        <v>12</v>
      </c>
      <c r="C349" s="6">
        <v>1481</v>
      </c>
      <c r="D349" s="7">
        <v>1472.4865234059801</v>
      </c>
      <c r="E349" s="7">
        <f t="shared" si="25"/>
        <v>64.492627046673618</v>
      </c>
      <c r="F349" s="7">
        <f t="shared" si="26"/>
        <v>38.125</v>
      </c>
      <c r="G349" s="7">
        <f t="shared" si="27"/>
        <v>64.886274509803911</v>
      </c>
      <c r="H349" s="7">
        <f>E349*'AHP Bobot'!$B$29 + F349*'AHP Bobot'!$B$30 + G349*'AHP Bobot'!$B$31</f>
        <v>56.719102970844645</v>
      </c>
      <c r="I349" s="6">
        <f t="shared" si="28"/>
        <v>37</v>
      </c>
      <c r="J349" s="8" t="str">
        <f t="shared" si="29"/>
        <v>Merah (Sangat Besar)</v>
      </c>
    </row>
    <row r="350" spans="1:10" ht="15" customHeight="1" x14ac:dyDescent="0.35">
      <c r="A350" s="6">
        <v>348</v>
      </c>
      <c r="B350" s="6">
        <v>11</v>
      </c>
      <c r="C350" s="6">
        <v>1108</v>
      </c>
      <c r="D350" s="7">
        <v>1377.82454601062</v>
      </c>
      <c r="E350" s="7">
        <f t="shared" si="25"/>
        <v>59.166444769361703</v>
      </c>
      <c r="F350" s="7">
        <f t="shared" si="26"/>
        <v>35.03125</v>
      </c>
      <c r="G350" s="7">
        <f t="shared" si="27"/>
        <v>48.79607843137255</v>
      </c>
      <c r="H350" s="7">
        <f>E350*'AHP Bobot'!$B$29 + F350*'AHP Bobot'!$B$30 + G350*'AHP Bobot'!$B$31</f>
        <v>50.293592385739366</v>
      </c>
      <c r="I350" s="6">
        <f t="shared" si="28"/>
        <v>66</v>
      </c>
      <c r="J350" s="8" t="str">
        <f t="shared" si="29"/>
        <v>Merah (Sangat Besar)</v>
      </c>
    </row>
    <row r="351" spans="1:10" ht="15" customHeight="1" x14ac:dyDescent="0.35">
      <c r="A351" s="6">
        <v>349</v>
      </c>
      <c r="B351" s="6">
        <v>15</v>
      </c>
      <c r="C351" s="6">
        <v>1080</v>
      </c>
      <c r="D351" s="7">
        <v>1323.5418920029299</v>
      </c>
      <c r="E351" s="7">
        <f t="shared" si="25"/>
        <v>56.112216263932403</v>
      </c>
      <c r="F351" s="7">
        <f t="shared" si="26"/>
        <v>47.40625</v>
      </c>
      <c r="G351" s="7">
        <f t="shared" si="27"/>
        <v>47.588235294117645</v>
      </c>
      <c r="H351" s="7">
        <f>E351*'AHP Bobot'!$B$29 + F351*'AHP Bobot'!$B$30 + G351*'AHP Bobot'!$B$31</f>
        <v>52.12823229503767</v>
      </c>
      <c r="I351" s="6">
        <f t="shared" si="28"/>
        <v>61</v>
      </c>
      <c r="J351" s="8" t="str">
        <f t="shared" si="29"/>
        <v>Merah (Sangat Besar)</v>
      </c>
    </row>
    <row r="352" spans="1:10" ht="15" customHeight="1" x14ac:dyDescent="0.35">
      <c r="A352" s="6">
        <v>350</v>
      </c>
      <c r="B352" s="6">
        <v>5</v>
      </c>
      <c r="C352" s="6">
        <v>423</v>
      </c>
      <c r="D352" s="7">
        <v>1246.99426440259</v>
      </c>
      <c r="E352" s="7">
        <f t="shared" si="25"/>
        <v>51.805242875954271</v>
      </c>
      <c r="F352" s="7">
        <f t="shared" si="26"/>
        <v>16.46875</v>
      </c>
      <c r="G352" s="7">
        <f t="shared" si="27"/>
        <v>19.247058823529414</v>
      </c>
      <c r="H352" s="7">
        <f>E352*'AHP Bobot'!$B$29 + F352*'AHP Bobot'!$B$30 + G352*'AHP Bobot'!$B$31</f>
        <v>35.968776176968987</v>
      </c>
      <c r="I352" s="6">
        <f t="shared" si="28"/>
        <v>138</v>
      </c>
      <c r="J352" s="8" t="str">
        <f t="shared" si="29"/>
        <v>Oranye (Besar)</v>
      </c>
    </row>
    <row r="353" spans="1:10" ht="15" customHeight="1" x14ac:dyDescent="0.35">
      <c r="A353" s="6">
        <v>351</v>
      </c>
      <c r="B353" s="6">
        <v>0</v>
      </c>
      <c r="C353" s="6">
        <v>83</v>
      </c>
      <c r="D353" s="7">
        <v>1301.6015219394001</v>
      </c>
      <c r="E353" s="7">
        <f t="shared" si="25"/>
        <v>54.877735288514216</v>
      </c>
      <c r="F353" s="7">
        <f t="shared" si="26"/>
        <v>1</v>
      </c>
      <c r="G353" s="7">
        <f t="shared" si="27"/>
        <v>4.5803921568627448</v>
      </c>
      <c r="H353" s="7">
        <f>E353*'AHP Bobot'!$B$29 + F353*'AHP Bobot'!$B$30 + G353*'AHP Bobot'!$B$31</f>
        <v>30.624399192011516</v>
      </c>
      <c r="I353" s="6">
        <f t="shared" si="28"/>
        <v>187</v>
      </c>
      <c r="J353" s="8" t="str">
        <f t="shared" si="29"/>
        <v>Kuning (Sedang)</v>
      </c>
    </row>
    <row r="354" spans="1:10" ht="15" customHeight="1" x14ac:dyDescent="0.35">
      <c r="A354" s="6">
        <v>352</v>
      </c>
      <c r="B354" s="6">
        <v>7</v>
      </c>
      <c r="C354" s="6">
        <v>1313</v>
      </c>
      <c r="D354" s="7">
        <v>1371.12727854062</v>
      </c>
      <c r="E354" s="7">
        <f t="shared" si="25"/>
        <v>58.789621167250047</v>
      </c>
      <c r="F354" s="7">
        <f t="shared" si="26"/>
        <v>22.65625</v>
      </c>
      <c r="G354" s="7">
        <f t="shared" si="27"/>
        <v>57.639215686274511</v>
      </c>
      <c r="H354" s="7">
        <f>E354*'AHP Bobot'!$B$29 + F354*'AHP Bobot'!$B$30 + G354*'AHP Bobot'!$B$31</f>
        <v>47.860262606580164</v>
      </c>
      <c r="I354" s="6">
        <f t="shared" si="28"/>
        <v>77</v>
      </c>
      <c r="J354" s="8" t="str">
        <f t="shared" si="29"/>
        <v>Oranye (Besar)</v>
      </c>
    </row>
    <row r="355" spans="1:10" ht="15" customHeight="1" x14ac:dyDescent="0.35">
      <c r="A355" s="6">
        <v>353</v>
      </c>
      <c r="B355" s="6">
        <v>6</v>
      </c>
      <c r="C355" s="6">
        <v>1313</v>
      </c>
      <c r="D355" s="7">
        <v>1465.77263227668</v>
      </c>
      <c r="E355" s="7">
        <f t="shared" si="25"/>
        <v>64.114868109784638</v>
      </c>
      <c r="F355" s="7">
        <f t="shared" si="26"/>
        <v>19.5625</v>
      </c>
      <c r="G355" s="7">
        <f t="shared" si="27"/>
        <v>57.639215686274511</v>
      </c>
      <c r="H355" s="7">
        <f>E355*'AHP Bobot'!$B$29 + F355*'AHP Bobot'!$B$30 + G355*'AHP Bobot'!$B$31</f>
        <v>49.810720374309838</v>
      </c>
      <c r="I355" s="6">
        <f t="shared" si="28"/>
        <v>68</v>
      </c>
      <c r="J355" s="8" t="str">
        <f t="shared" si="29"/>
        <v>Merah (Sangat Besar)</v>
      </c>
    </row>
    <row r="356" spans="1:10" ht="15" customHeight="1" x14ac:dyDescent="0.35">
      <c r="A356" s="6">
        <v>354</v>
      </c>
      <c r="B356" s="6">
        <v>13</v>
      </c>
      <c r="C356" s="6">
        <v>1313</v>
      </c>
      <c r="D356" s="7">
        <v>1601.4125646832299</v>
      </c>
      <c r="E356" s="7">
        <f t="shared" si="25"/>
        <v>71.746686332451105</v>
      </c>
      <c r="F356" s="7">
        <f t="shared" si="26"/>
        <v>41.21875</v>
      </c>
      <c r="G356" s="7">
        <f t="shared" si="27"/>
        <v>57.639215686274511</v>
      </c>
      <c r="H356" s="7">
        <f>E356*'AHP Bobot'!$B$29 + F356*'AHP Bobot'!$B$30 + G356*'AHP Bobot'!$B$31</f>
        <v>60.361473052759948</v>
      </c>
      <c r="I356" s="6">
        <f t="shared" si="28"/>
        <v>26</v>
      </c>
      <c r="J356" s="8" t="str">
        <f t="shared" si="29"/>
        <v>Merah (Sangat Besar)</v>
      </c>
    </row>
    <row r="357" spans="1:10" ht="15" customHeight="1" x14ac:dyDescent="0.35">
      <c r="A357" s="6">
        <v>355</v>
      </c>
      <c r="B357" s="6">
        <v>6</v>
      </c>
      <c r="C357" s="6">
        <v>1313</v>
      </c>
      <c r="D357" s="7">
        <v>1638.6634763731199</v>
      </c>
      <c r="E357" s="7">
        <f t="shared" si="25"/>
        <v>73.84261915696581</v>
      </c>
      <c r="F357" s="7">
        <f t="shared" si="26"/>
        <v>19.5625</v>
      </c>
      <c r="G357" s="7">
        <f t="shared" si="27"/>
        <v>57.639215686274511</v>
      </c>
      <c r="H357" s="7">
        <f>E357*'AHP Bobot'!$B$29 + F357*'AHP Bobot'!$B$30 + G357*'AHP Bobot'!$B$31</f>
        <v>55.053599185452939</v>
      </c>
      <c r="I357" s="6">
        <f t="shared" si="28"/>
        <v>48</v>
      </c>
      <c r="J357" s="8" t="str">
        <f t="shared" si="29"/>
        <v>Merah (Sangat Besar)</v>
      </c>
    </row>
    <row r="358" spans="1:10" ht="15" customHeight="1" x14ac:dyDescent="0.35">
      <c r="A358" s="6">
        <v>356</v>
      </c>
      <c r="B358" s="6">
        <v>7</v>
      </c>
      <c r="C358" s="6">
        <v>1394</v>
      </c>
      <c r="D358" s="7">
        <v>1523.17509925692</v>
      </c>
      <c r="E358" s="7">
        <f t="shared" si="25"/>
        <v>67.344633752934214</v>
      </c>
      <c r="F358" s="7">
        <f t="shared" si="26"/>
        <v>22.65625</v>
      </c>
      <c r="G358" s="7">
        <f t="shared" si="27"/>
        <v>61.133333333333333</v>
      </c>
      <c r="H358" s="7">
        <f>E358*'AHP Bobot'!$B$29 + F358*'AHP Bobot'!$B$30 + G358*'AHP Bobot'!$B$31</f>
        <v>53.043349985648284</v>
      </c>
      <c r="I358" s="6">
        <f t="shared" si="28"/>
        <v>56</v>
      </c>
      <c r="J358" s="8" t="str">
        <f t="shared" si="29"/>
        <v>Merah (Sangat Besar)</v>
      </c>
    </row>
    <row r="359" spans="1:10" ht="15" customHeight="1" x14ac:dyDescent="0.35">
      <c r="A359" s="6">
        <v>357</v>
      </c>
      <c r="B359" s="6">
        <v>11</v>
      </c>
      <c r="C359" s="6">
        <v>1516</v>
      </c>
      <c r="D359" s="7">
        <v>1443.71711193342</v>
      </c>
      <c r="E359" s="7">
        <f t="shared" si="25"/>
        <v>62.873908172105139</v>
      </c>
      <c r="F359" s="7">
        <f t="shared" si="26"/>
        <v>35.03125</v>
      </c>
      <c r="G359" s="7">
        <f t="shared" si="27"/>
        <v>66.396078431372544</v>
      </c>
      <c r="H359" s="7">
        <f>E359*'AHP Bobot'!$B$29 + F359*'AHP Bobot'!$B$30 + G359*'AHP Bobot'!$B$31</f>
        <v>55.174310395731681</v>
      </c>
      <c r="I359" s="6">
        <f t="shared" si="28"/>
        <v>47</v>
      </c>
      <c r="J359" s="8" t="str">
        <f t="shared" si="29"/>
        <v>Merah (Sangat Besar)</v>
      </c>
    </row>
    <row r="360" spans="1:10" ht="15" customHeight="1" x14ac:dyDescent="0.35">
      <c r="A360" s="6">
        <v>358</v>
      </c>
      <c r="B360" s="6">
        <v>4</v>
      </c>
      <c r="C360" s="6">
        <v>533</v>
      </c>
      <c r="D360" s="7">
        <v>1372.2903635207299</v>
      </c>
      <c r="E360" s="7">
        <f t="shared" si="25"/>
        <v>58.855062464574694</v>
      </c>
      <c r="F360" s="7">
        <f t="shared" si="26"/>
        <v>13.375</v>
      </c>
      <c r="G360" s="7">
        <f t="shared" si="27"/>
        <v>23.992156862745098</v>
      </c>
      <c r="H360" s="7">
        <f>E360*'AHP Bobot'!$B$29 + F360*'AHP Bobot'!$B$30 + G360*'AHP Bobot'!$B$31</f>
        <v>39.625866716363952</v>
      </c>
      <c r="I360" s="6">
        <f t="shared" si="28"/>
        <v>112</v>
      </c>
      <c r="J360" s="8" t="str">
        <f t="shared" si="29"/>
        <v>Oranye (Besar)</v>
      </c>
    </row>
    <row r="361" spans="1:10" ht="15" customHeight="1" x14ac:dyDescent="0.35">
      <c r="A361" s="6">
        <v>359</v>
      </c>
      <c r="B361" s="6">
        <v>11</v>
      </c>
      <c r="C361" s="6">
        <v>524</v>
      </c>
      <c r="D361" s="7">
        <v>1329.97018069876</v>
      </c>
      <c r="E361" s="7">
        <f t="shared" si="25"/>
        <v>56.47390570109868</v>
      </c>
      <c r="F361" s="7">
        <f t="shared" si="26"/>
        <v>35.03125</v>
      </c>
      <c r="G361" s="7">
        <f t="shared" si="27"/>
        <v>23.603921568627452</v>
      </c>
      <c r="H361" s="7">
        <f>E361*'AHP Bobot'!$B$29 + F361*'AHP Bobot'!$B$30 + G361*'AHP Bobot'!$B$31</f>
        <v>44.716430559018143</v>
      </c>
      <c r="I361" s="6">
        <f t="shared" si="28"/>
        <v>90</v>
      </c>
      <c r="J361" s="8" t="str">
        <f t="shared" si="29"/>
        <v>Oranye (Besar)</v>
      </c>
    </row>
    <row r="362" spans="1:10" ht="15" customHeight="1" x14ac:dyDescent="0.35">
      <c r="A362" s="6">
        <v>360</v>
      </c>
      <c r="B362" s="6">
        <v>0</v>
      </c>
      <c r="C362" s="6">
        <v>8</v>
      </c>
      <c r="D362" s="7">
        <v>1290.35705535286</v>
      </c>
      <c r="E362" s="7">
        <f t="shared" si="25"/>
        <v>54.245062273445853</v>
      </c>
      <c r="F362" s="7">
        <f t="shared" si="26"/>
        <v>1</v>
      </c>
      <c r="G362" s="7">
        <f t="shared" si="27"/>
        <v>1.3450980392156864</v>
      </c>
      <c r="H362" s="7">
        <f>E362*'AHP Bobot'!$B$29 + F362*'AHP Bobot'!$B$30 + G362*'AHP Bobot'!$B$31</f>
        <v>29.753534468373747</v>
      </c>
      <c r="I362" s="6">
        <f t="shared" si="28"/>
        <v>194</v>
      </c>
      <c r="J362" s="8" t="str">
        <f t="shared" si="29"/>
        <v>Kuning (Sedang)</v>
      </c>
    </row>
    <row r="363" spans="1:10" ht="15" customHeight="1" x14ac:dyDescent="0.35">
      <c r="A363" s="6">
        <v>361</v>
      </c>
      <c r="B363" s="6">
        <v>1</v>
      </c>
      <c r="C363" s="6">
        <v>646</v>
      </c>
      <c r="D363" s="7">
        <v>1317.63961065013</v>
      </c>
      <c r="E363" s="7">
        <f t="shared" si="25"/>
        <v>55.780122775057812</v>
      </c>
      <c r="F363" s="7">
        <f t="shared" si="26"/>
        <v>4.09375</v>
      </c>
      <c r="G363" s="7">
        <f t="shared" si="27"/>
        <v>28.866666666666667</v>
      </c>
      <c r="H363" s="7">
        <f>E363*'AHP Bobot'!$B$29 + F363*'AHP Bobot'!$B$30 + G363*'AHP Bobot'!$B$31</f>
        <v>36.00801590642245</v>
      </c>
      <c r="I363" s="6">
        <f t="shared" si="28"/>
        <v>136</v>
      </c>
      <c r="J363" s="8" t="str">
        <f t="shared" si="29"/>
        <v>Oranye (Besar)</v>
      </c>
    </row>
    <row r="364" spans="1:10" ht="15" customHeight="1" x14ac:dyDescent="0.35">
      <c r="A364" s="6">
        <v>362</v>
      </c>
      <c r="B364" s="6">
        <v>4</v>
      </c>
      <c r="C364" s="6">
        <v>1246</v>
      </c>
      <c r="D364" s="7">
        <v>1377.0076776383601</v>
      </c>
      <c r="E364" s="7">
        <f t="shared" si="25"/>
        <v>59.120483445005917</v>
      </c>
      <c r="F364" s="7">
        <f t="shared" si="26"/>
        <v>13.375</v>
      </c>
      <c r="G364" s="7">
        <f t="shared" si="27"/>
        <v>54.749019607843138</v>
      </c>
      <c r="H364" s="7">
        <f>E364*'AHP Bobot'!$B$29 + F364*'AHP Bobot'!$B$30 + G364*'AHP Bobot'!$B$31</f>
        <v>44.806297679942148</v>
      </c>
      <c r="I364" s="6">
        <f t="shared" si="28"/>
        <v>88</v>
      </c>
      <c r="J364" s="8" t="str">
        <f t="shared" si="29"/>
        <v>Oranye (Besar)</v>
      </c>
    </row>
    <row r="365" spans="1:10" ht="15" customHeight="1" x14ac:dyDescent="0.35">
      <c r="A365" s="6">
        <v>363</v>
      </c>
      <c r="B365" s="6">
        <v>2</v>
      </c>
      <c r="C365" s="6">
        <v>1313</v>
      </c>
      <c r="D365" s="7">
        <v>1442.55626002998</v>
      </c>
      <c r="E365" s="7">
        <f t="shared" si="25"/>
        <v>62.808592519455473</v>
      </c>
      <c r="F365" s="7">
        <f t="shared" si="26"/>
        <v>7.1875</v>
      </c>
      <c r="G365" s="7">
        <f t="shared" si="27"/>
        <v>57.639215686274511</v>
      </c>
      <c r="H365" s="7">
        <f>E365*'AHP Bobot'!$B$29 + F365*'AHP Bobot'!$B$30 + G365*'AHP Bobot'!$B$31</f>
        <v>45.428117296405162</v>
      </c>
      <c r="I365" s="6">
        <f t="shared" si="28"/>
        <v>85</v>
      </c>
      <c r="J365" s="8" t="str">
        <f t="shared" si="29"/>
        <v>Oranye (Besar)</v>
      </c>
    </row>
    <row r="366" spans="1:10" ht="15" customHeight="1" x14ac:dyDescent="0.35">
      <c r="A366" s="6">
        <v>364</v>
      </c>
      <c r="B366" s="6">
        <v>14</v>
      </c>
      <c r="C366" s="6">
        <v>1271</v>
      </c>
      <c r="D366" s="7">
        <v>1485.6043720109701</v>
      </c>
      <c r="E366" s="7">
        <f t="shared" si="25"/>
        <v>65.230706417914192</v>
      </c>
      <c r="F366" s="7">
        <f t="shared" si="26"/>
        <v>44.3125</v>
      </c>
      <c r="G366" s="7">
        <f t="shared" si="27"/>
        <v>55.82745098039215</v>
      </c>
      <c r="H366" s="7">
        <f>E366*'AHP Bobot'!$B$29 + F366*'AHP Bobot'!$B$30 + G366*'AHP Bobot'!$B$31</f>
        <v>57.472524579170937</v>
      </c>
      <c r="I366" s="6">
        <f t="shared" si="28"/>
        <v>33</v>
      </c>
      <c r="J366" s="8" t="str">
        <f t="shared" si="29"/>
        <v>Merah (Sangat Besar)</v>
      </c>
    </row>
    <row r="367" spans="1:10" ht="15" customHeight="1" x14ac:dyDescent="0.35">
      <c r="A367" s="6">
        <v>365</v>
      </c>
      <c r="B367" s="6">
        <v>10</v>
      </c>
      <c r="C367" s="6">
        <v>1313</v>
      </c>
      <c r="D367" s="7">
        <v>1465.4173859401101</v>
      </c>
      <c r="E367" s="7">
        <f t="shared" si="25"/>
        <v>64.09488007663785</v>
      </c>
      <c r="F367" s="7">
        <f t="shared" si="26"/>
        <v>31.9375</v>
      </c>
      <c r="G367" s="7">
        <f t="shared" si="27"/>
        <v>57.639215686274511</v>
      </c>
      <c r="H367" s="7">
        <f>E367*'AHP Bobot'!$B$29 + F367*'AHP Bobot'!$B$30 + G367*'AHP Bobot'!$B$31</f>
        <v>53.478519031769693</v>
      </c>
      <c r="I367" s="6">
        <f t="shared" si="28"/>
        <v>54</v>
      </c>
      <c r="J367" s="8" t="str">
        <f t="shared" si="29"/>
        <v>Merah (Sangat Besar)</v>
      </c>
    </row>
    <row r="368" spans="1:10" ht="15" customHeight="1" x14ac:dyDescent="0.35">
      <c r="A368" s="6">
        <v>366</v>
      </c>
      <c r="B368" s="6">
        <v>18</v>
      </c>
      <c r="C368" s="6">
        <v>1192</v>
      </c>
      <c r="D368" s="7">
        <v>1416.72038417981</v>
      </c>
      <c r="E368" s="7">
        <f t="shared" si="25"/>
        <v>61.354929836102833</v>
      </c>
      <c r="F368" s="7">
        <f t="shared" si="26"/>
        <v>56.6875</v>
      </c>
      <c r="G368" s="7">
        <f t="shared" si="27"/>
        <v>52.419607843137257</v>
      </c>
      <c r="H368" s="7">
        <f>E368*'AHP Bobot'!$B$29 + F368*'AHP Bobot'!$B$30 + G368*'AHP Bobot'!$B$31</f>
        <v>58.504064623348469</v>
      </c>
      <c r="I368" s="6">
        <f t="shared" si="28"/>
        <v>30</v>
      </c>
      <c r="J368" s="8" t="str">
        <f t="shared" si="29"/>
        <v>Merah (Sangat Besar)</v>
      </c>
    </row>
    <row r="369" spans="1:10" ht="15" customHeight="1" x14ac:dyDescent="0.35">
      <c r="A369" s="6">
        <v>367</v>
      </c>
      <c r="B369" s="6">
        <v>1</v>
      </c>
      <c r="C369" s="6">
        <v>262</v>
      </c>
      <c r="D369" s="7">
        <v>1370.2402294083799</v>
      </c>
      <c r="E369" s="7">
        <f t="shared" si="25"/>
        <v>58.739711103069688</v>
      </c>
      <c r="F369" s="7">
        <f t="shared" si="26"/>
        <v>4.09375</v>
      </c>
      <c r="G369" s="7">
        <f t="shared" si="27"/>
        <v>12.301960784313726</v>
      </c>
      <c r="H369" s="7">
        <f>E369*'AHP Bobot'!$B$29 + F369*'AHP Bobot'!$B$30 + G369*'AHP Bobot'!$B$31</f>
        <v>34.890140181841467</v>
      </c>
      <c r="I369" s="6">
        <f t="shared" si="28"/>
        <v>149</v>
      </c>
      <c r="J369" s="8" t="str">
        <f t="shared" si="29"/>
        <v>Oranye (Besar)</v>
      </c>
    </row>
    <row r="370" spans="1:10" ht="15" customHeight="1" x14ac:dyDescent="0.35">
      <c r="A370" s="6">
        <v>368</v>
      </c>
      <c r="B370" s="6">
        <v>0</v>
      </c>
      <c r="C370" s="6">
        <v>18</v>
      </c>
      <c r="D370" s="7">
        <v>1276.7004220367201</v>
      </c>
      <c r="E370" s="7">
        <f t="shared" si="25"/>
        <v>53.476668031770778</v>
      </c>
      <c r="F370" s="7">
        <f t="shared" si="26"/>
        <v>1</v>
      </c>
      <c r="G370" s="7">
        <f t="shared" si="27"/>
        <v>1.776470588235294</v>
      </c>
      <c r="H370" s="7">
        <f>E370*'AHP Bobot'!$B$29 + F370*'AHP Bobot'!$B$30 + G370*'AHP Bobot'!$B$31</f>
        <v>29.410050391964056</v>
      </c>
      <c r="I370" s="6">
        <f t="shared" si="28"/>
        <v>201</v>
      </c>
      <c r="J370" s="8" t="str">
        <f t="shared" si="29"/>
        <v>Kuning (Sedang)</v>
      </c>
    </row>
    <row r="371" spans="1:10" ht="15" customHeight="1" x14ac:dyDescent="0.35">
      <c r="A371" s="6">
        <v>369</v>
      </c>
      <c r="B371" s="6">
        <v>0</v>
      </c>
      <c r="C371" s="6">
        <v>638</v>
      </c>
      <c r="D371" s="7">
        <v>1317.6567418344</v>
      </c>
      <c r="E371" s="7">
        <f t="shared" si="25"/>
        <v>55.781086665867612</v>
      </c>
      <c r="F371" s="7">
        <f t="shared" si="26"/>
        <v>1</v>
      </c>
      <c r="G371" s="7">
        <f t="shared" si="27"/>
        <v>28.521568627450979</v>
      </c>
      <c r="H371" s="7">
        <f>E371*'AHP Bobot'!$B$29 + F371*'AHP Bobot'!$B$30 + G371*'AHP Bobot'!$B$31</f>
        <v>35.032372162939737</v>
      </c>
      <c r="I371" s="6">
        <f t="shared" si="28"/>
        <v>146</v>
      </c>
      <c r="J371" s="8" t="str">
        <f t="shared" si="29"/>
        <v>Oranye (Besar)</v>
      </c>
    </row>
    <row r="372" spans="1:10" ht="15" customHeight="1" x14ac:dyDescent="0.35">
      <c r="A372" s="6">
        <v>370</v>
      </c>
      <c r="B372" s="6">
        <v>5</v>
      </c>
      <c r="C372" s="6">
        <v>1054</v>
      </c>
      <c r="D372" s="7">
        <v>1358.93640439758</v>
      </c>
      <c r="E372" s="7">
        <f t="shared" si="25"/>
        <v>58.103698269882145</v>
      </c>
      <c r="F372" s="7">
        <f t="shared" si="26"/>
        <v>16.46875</v>
      </c>
      <c r="G372" s="7">
        <f t="shared" si="27"/>
        <v>46.466666666666669</v>
      </c>
      <c r="H372" s="7">
        <f>E372*'AHP Bobot'!$B$29 + F372*'AHP Bobot'!$B$30 + G372*'AHP Bobot'!$B$31</f>
        <v>43.8214436803285</v>
      </c>
      <c r="I372" s="6">
        <f t="shared" si="28"/>
        <v>93</v>
      </c>
      <c r="J372" s="8" t="str">
        <f t="shared" si="29"/>
        <v>Oranye (Besar)</v>
      </c>
    </row>
    <row r="373" spans="1:10" ht="15" customHeight="1" x14ac:dyDescent="0.35">
      <c r="A373" s="6">
        <v>371</v>
      </c>
      <c r="B373" s="6">
        <v>1</v>
      </c>
      <c r="C373" s="6">
        <v>167</v>
      </c>
      <c r="D373" s="7">
        <v>1390.6718907229699</v>
      </c>
      <c r="E373" s="7">
        <f t="shared" si="25"/>
        <v>59.889304164445377</v>
      </c>
      <c r="F373" s="7">
        <f t="shared" si="26"/>
        <v>4.09375</v>
      </c>
      <c r="G373" s="7">
        <f t="shared" si="27"/>
        <v>8.2039215686274503</v>
      </c>
      <c r="H373" s="7">
        <f>E373*'AHP Bobot'!$B$29 + F373*'AHP Bobot'!$B$30 + G373*'AHP Bobot'!$B$31</f>
        <v>34.838546469638622</v>
      </c>
      <c r="I373" s="6">
        <f t="shared" si="28"/>
        <v>150</v>
      </c>
      <c r="J373" s="8" t="str">
        <f t="shared" si="29"/>
        <v>Oranye (Besar)</v>
      </c>
    </row>
    <row r="374" spans="1:10" ht="15" customHeight="1" x14ac:dyDescent="0.35">
      <c r="A374" s="6">
        <v>372</v>
      </c>
      <c r="B374" s="6">
        <v>6</v>
      </c>
      <c r="C374" s="6">
        <v>922</v>
      </c>
      <c r="D374" s="7">
        <v>1398.06368256103</v>
      </c>
      <c r="E374" s="7">
        <f t="shared" si="25"/>
        <v>60.305205371759307</v>
      </c>
      <c r="F374" s="7">
        <f t="shared" si="26"/>
        <v>19.5625</v>
      </c>
      <c r="G374" s="7">
        <f t="shared" si="27"/>
        <v>40.772549019607844</v>
      </c>
      <c r="H374" s="7">
        <f>E374*'AHP Bobot'!$B$29 + F374*'AHP Bobot'!$B$30 + G374*'AHP Bobot'!$B$31</f>
        <v>44.995026724498693</v>
      </c>
      <c r="I374" s="6">
        <f t="shared" si="28"/>
        <v>87</v>
      </c>
      <c r="J374" s="8" t="str">
        <f t="shared" si="29"/>
        <v>Oranye (Besar)</v>
      </c>
    </row>
    <row r="375" spans="1:10" ht="15" customHeight="1" x14ac:dyDescent="0.35">
      <c r="A375" s="6">
        <v>373</v>
      </c>
      <c r="B375" s="6">
        <v>5</v>
      </c>
      <c r="C375" s="6">
        <v>812</v>
      </c>
      <c r="D375" s="7">
        <v>1380.7951354391</v>
      </c>
      <c r="E375" s="7">
        <f t="shared" si="25"/>
        <v>59.333585803201075</v>
      </c>
      <c r="F375" s="7">
        <f t="shared" si="26"/>
        <v>16.46875</v>
      </c>
      <c r="G375" s="7">
        <f t="shared" si="27"/>
        <v>36.02745098039216</v>
      </c>
      <c r="H375" s="7">
        <f>E375*'AHP Bobot'!$B$29 + F375*'AHP Bobot'!$B$30 + G375*'AHP Bobot'!$B$31</f>
        <v>42.774563468643741</v>
      </c>
      <c r="I375" s="6">
        <f t="shared" si="28"/>
        <v>98</v>
      </c>
      <c r="J375" s="8" t="str">
        <f t="shared" si="29"/>
        <v>Oranye (Besar)</v>
      </c>
    </row>
    <row r="376" spans="1:10" ht="15" customHeight="1" x14ac:dyDescent="0.35">
      <c r="A376" s="6">
        <v>374</v>
      </c>
      <c r="B376" s="6">
        <v>4</v>
      </c>
      <c r="C376" s="6">
        <v>136</v>
      </c>
      <c r="D376" s="7">
        <v>1352.9994789508501</v>
      </c>
      <c r="E376" s="7">
        <f t="shared" si="25"/>
        <v>57.769655521503594</v>
      </c>
      <c r="F376" s="7">
        <f t="shared" si="26"/>
        <v>13.375</v>
      </c>
      <c r="G376" s="7">
        <f t="shared" si="27"/>
        <v>6.8666666666666671</v>
      </c>
      <c r="H376" s="7">
        <f>E376*'AHP Bobot'!$B$29 + F376*'AHP Bobot'!$B$30 + G376*'AHP Bobot'!$B$31</f>
        <v>36.236050510747852</v>
      </c>
      <c r="I376" s="6">
        <f t="shared" si="28"/>
        <v>133</v>
      </c>
      <c r="J376" s="8" t="str">
        <f t="shared" si="29"/>
        <v>Oranye (Besar)</v>
      </c>
    </row>
    <row r="377" spans="1:10" ht="15" customHeight="1" x14ac:dyDescent="0.35">
      <c r="A377" s="6">
        <v>375</v>
      </c>
      <c r="B377" s="6">
        <v>1</v>
      </c>
      <c r="C377" s="6">
        <v>40</v>
      </c>
      <c r="D377" s="7">
        <v>1277.84454330067</v>
      </c>
      <c r="E377" s="7">
        <f t="shared" si="25"/>
        <v>53.541042330373202</v>
      </c>
      <c r="F377" s="7">
        <f t="shared" si="26"/>
        <v>4.09375</v>
      </c>
      <c r="G377" s="7">
        <f t="shared" si="27"/>
        <v>2.7254901960784315</v>
      </c>
      <c r="H377" s="7">
        <f>E377*'AHP Bobot'!$B$29 + F377*'AHP Bobot'!$B$30 + G377*'AHP Bobot'!$B$31</f>
        <v>30.519819549277479</v>
      </c>
      <c r="I377" s="6">
        <f t="shared" si="28"/>
        <v>188</v>
      </c>
      <c r="J377" s="8" t="str">
        <f t="shared" si="29"/>
        <v>Kuning (Sedang)</v>
      </c>
    </row>
    <row r="378" spans="1:10" ht="15" customHeight="1" x14ac:dyDescent="0.35">
      <c r="A378" s="6">
        <v>376</v>
      </c>
      <c r="B378" s="6">
        <v>1</v>
      </c>
      <c r="C378" s="6">
        <v>416</v>
      </c>
      <c r="D378" s="7">
        <v>1308.6043418351401</v>
      </c>
      <c r="E378" s="7">
        <f t="shared" si="25"/>
        <v>55.271750882168249</v>
      </c>
      <c r="F378" s="7">
        <f t="shared" si="26"/>
        <v>4.09375</v>
      </c>
      <c r="G378" s="7">
        <f t="shared" si="27"/>
        <v>18.945098039215686</v>
      </c>
      <c r="H378" s="7">
        <f>E378*'AHP Bobot'!$B$29 + F378*'AHP Bobot'!$B$30 + G378*'AHP Bobot'!$B$31</f>
        <v>34.109062167302774</v>
      </c>
      <c r="I378" s="6">
        <f t="shared" si="28"/>
        <v>156</v>
      </c>
      <c r="J378" s="8" t="str">
        <f t="shared" si="29"/>
        <v>Kuning (Sedang)</v>
      </c>
    </row>
    <row r="379" spans="1:10" ht="15" customHeight="1" x14ac:dyDescent="0.35">
      <c r="A379" s="6">
        <v>377</v>
      </c>
      <c r="B379" s="6">
        <v>0</v>
      </c>
      <c r="C379" s="6">
        <v>56</v>
      </c>
      <c r="D379" s="7">
        <v>1346.08926280076</v>
      </c>
      <c r="E379" s="7">
        <f t="shared" si="25"/>
        <v>57.380850303149806</v>
      </c>
      <c r="F379" s="7">
        <f t="shared" si="26"/>
        <v>1</v>
      </c>
      <c r="G379" s="7">
        <f t="shared" si="27"/>
        <v>3.4156862745098038</v>
      </c>
      <c r="H379" s="7">
        <f>E379*'AHP Bobot'!$B$29 + F379*'AHP Bobot'!$B$30 + G379*'AHP Bobot'!$B$31</f>
        <v>31.782724358417482</v>
      </c>
      <c r="I379" s="6">
        <f t="shared" si="28"/>
        <v>179</v>
      </c>
      <c r="J379" s="8" t="str">
        <f t="shared" si="29"/>
        <v>Kuning (Sedang)</v>
      </c>
    </row>
  </sheetData>
  <conditionalFormatting sqref="J2:J379">
    <cfRule type="expression" dxfId="4" priority="2">
      <formula>$J2="Merah (Sangat Besar)"</formula>
    </cfRule>
    <cfRule type="expression" dxfId="3" priority="3">
      <formula>$J2="Oranye (Besar)"</formula>
    </cfRule>
    <cfRule type="expression" dxfId="2" priority="4">
      <formula>$J2="Kuning (Sedang)"</formula>
    </cfRule>
    <cfRule type="expression" dxfId="1" priority="5">
      <formula>$J2="Hijau (Rendah)"</formula>
    </cfRule>
    <cfRule type="expression" dxfId="0" priority="6">
      <formula>$J2="Hijau Muda (Sangat Rendah)"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zoomScaleNormal="100" workbookViewId="0"/>
  </sheetViews>
  <sheetFormatPr defaultColWidth="8.6328125" defaultRowHeight="14.5" x14ac:dyDescent="0.35"/>
  <cols>
    <col min="1" max="1" width="42" customWidth="1"/>
    <col min="2" max="7" width="16" customWidth="1"/>
  </cols>
  <sheetData>
    <row r="1" spans="1:7" ht="15.75" customHeight="1" x14ac:dyDescent="0.35">
      <c r="A1" s="1" t="s">
        <v>0</v>
      </c>
      <c r="B1" s="2"/>
      <c r="C1" s="2"/>
      <c r="D1" s="2"/>
      <c r="E1" s="2"/>
      <c r="F1" s="2"/>
      <c r="G1" s="2"/>
    </row>
    <row r="2" spans="1:7" ht="15" customHeight="1" x14ac:dyDescent="0.35">
      <c r="A2" s="2"/>
      <c r="B2" s="2"/>
      <c r="C2" s="2"/>
      <c r="D2" s="2"/>
      <c r="E2" s="2"/>
      <c r="F2" s="2"/>
      <c r="G2" s="2"/>
    </row>
    <row r="3" spans="1:7" ht="15" customHeight="1" x14ac:dyDescent="0.35">
      <c r="A3" s="2" t="s">
        <v>1</v>
      </c>
      <c r="B3" s="2"/>
      <c r="C3" s="2"/>
      <c r="D3" s="2"/>
      <c r="E3" s="2"/>
      <c r="F3" s="2"/>
      <c r="G3" s="2"/>
    </row>
    <row r="4" spans="1:7" ht="15" customHeight="1" x14ac:dyDescent="0.35">
      <c r="A4" s="2"/>
      <c r="B4" s="2"/>
      <c r="C4" s="2"/>
      <c r="D4" s="2"/>
      <c r="E4" s="2"/>
      <c r="F4" s="2"/>
      <c r="G4" s="2"/>
    </row>
    <row r="5" spans="1:7" ht="15" customHeight="1" x14ac:dyDescent="0.35">
      <c r="A5" s="3" t="s">
        <v>2</v>
      </c>
      <c r="B5" s="2"/>
      <c r="C5" s="2"/>
      <c r="D5" s="2"/>
      <c r="E5" s="2"/>
      <c r="F5" s="2"/>
      <c r="G5" s="2"/>
    </row>
    <row r="6" spans="1:7" ht="15" customHeight="1" x14ac:dyDescent="0.35">
      <c r="A6" s="2"/>
      <c r="B6" s="2" t="s">
        <v>3</v>
      </c>
      <c r="C6" s="2" t="s">
        <v>4</v>
      </c>
      <c r="D6" s="2" t="s">
        <v>5</v>
      </c>
      <c r="E6" s="2"/>
      <c r="F6" s="2"/>
      <c r="G6" s="2"/>
    </row>
    <row r="7" spans="1:7" ht="15" customHeight="1" x14ac:dyDescent="0.35">
      <c r="A7" s="2" t="s">
        <v>3</v>
      </c>
      <c r="B7" s="4">
        <v>1</v>
      </c>
      <c r="C7" s="4">
        <v>2</v>
      </c>
      <c r="D7" s="4">
        <v>3</v>
      </c>
      <c r="E7" s="2"/>
      <c r="F7" s="2"/>
      <c r="G7" s="2"/>
    </row>
    <row r="8" spans="1:7" ht="15" customHeight="1" x14ac:dyDescent="0.35">
      <c r="A8" s="2" t="s">
        <v>4</v>
      </c>
      <c r="B8" s="2">
        <f>1/C7</f>
        <v>0.5</v>
      </c>
      <c r="C8" s="2">
        <v>1</v>
      </c>
      <c r="D8" s="2">
        <v>2</v>
      </c>
      <c r="E8" s="2"/>
      <c r="F8" s="2"/>
      <c r="G8" s="2"/>
    </row>
    <row r="9" spans="1:7" ht="15" customHeight="1" x14ac:dyDescent="0.35">
      <c r="A9" s="2" t="s">
        <v>5</v>
      </c>
      <c r="B9" s="2">
        <f>1/D7</f>
        <v>0.33333333333333331</v>
      </c>
      <c r="C9" s="2">
        <f>1/D8</f>
        <v>0.5</v>
      </c>
      <c r="D9" s="2">
        <v>1</v>
      </c>
      <c r="E9" s="2"/>
      <c r="F9" s="2"/>
      <c r="G9" s="2"/>
    </row>
    <row r="10" spans="1:7" ht="15" customHeight="1" x14ac:dyDescent="0.35">
      <c r="A10" s="2" t="s">
        <v>6</v>
      </c>
      <c r="B10" s="2">
        <f>SUM(B7:B9)</f>
        <v>1.8333333333333333</v>
      </c>
      <c r="C10" s="2">
        <f>SUM(C7:C9)</f>
        <v>3.5</v>
      </c>
      <c r="D10" s="2">
        <f>SUM(D7:D9)</f>
        <v>6</v>
      </c>
      <c r="E10" s="2"/>
      <c r="F10" s="2"/>
      <c r="G10" s="2"/>
    </row>
    <row r="11" spans="1:7" ht="15" customHeight="1" x14ac:dyDescent="0.35">
      <c r="A11" s="2" t="s">
        <v>7</v>
      </c>
      <c r="B11" s="2"/>
      <c r="C11" s="2"/>
      <c r="D11" s="2"/>
      <c r="E11" s="2"/>
      <c r="F11" s="2"/>
      <c r="G11" s="2"/>
    </row>
    <row r="12" spans="1:7" ht="15" customHeight="1" x14ac:dyDescent="0.35">
      <c r="A12" s="2"/>
      <c r="B12" s="2"/>
      <c r="C12" s="2"/>
      <c r="D12" s="2"/>
      <c r="E12" s="2"/>
      <c r="F12" s="2"/>
      <c r="G12" s="2"/>
    </row>
    <row r="13" spans="1:7" ht="15" customHeight="1" x14ac:dyDescent="0.35">
      <c r="A13" s="3" t="s">
        <v>8</v>
      </c>
      <c r="B13" s="2"/>
      <c r="C13" s="2"/>
      <c r="D13" s="2"/>
      <c r="E13" s="2"/>
      <c r="F13" s="2"/>
      <c r="G13" s="2"/>
    </row>
    <row r="14" spans="1:7" ht="15" customHeight="1" x14ac:dyDescent="0.35">
      <c r="A14" s="2" t="s">
        <v>9</v>
      </c>
      <c r="B14" s="2" t="s">
        <v>3</v>
      </c>
      <c r="C14" s="2" t="s">
        <v>4</v>
      </c>
      <c r="D14" s="2" t="s">
        <v>5</v>
      </c>
      <c r="E14" s="2" t="s">
        <v>10</v>
      </c>
      <c r="F14" s="2" t="s">
        <v>11</v>
      </c>
      <c r="G14" s="2" t="s">
        <v>12</v>
      </c>
    </row>
    <row r="15" spans="1:7" ht="15" customHeight="1" x14ac:dyDescent="0.35">
      <c r="A15" s="2" t="s">
        <v>3</v>
      </c>
      <c r="B15" s="2">
        <f t="shared" ref="B15:D17" si="0">B7/B$10</f>
        <v>0.54545454545454553</v>
      </c>
      <c r="C15" s="2">
        <f t="shared" si="0"/>
        <v>0.5714285714285714</v>
      </c>
      <c r="D15" s="2">
        <f t="shared" si="0"/>
        <v>0.5</v>
      </c>
      <c r="E15" s="2">
        <f>SUM(B15:D15)</f>
        <v>1.616883116883117</v>
      </c>
      <c r="F15" s="2">
        <f>E15/3</f>
        <v>0.53896103896103897</v>
      </c>
      <c r="G15" s="2">
        <f>F15*B$10</f>
        <v>0.98809523809523803</v>
      </c>
    </row>
    <row r="16" spans="1:7" ht="15" customHeight="1" x14ac:dyDescent="0.35">
      <c r="A16" s="2" t="s">
        <v>4</v>
      </c>
      <c r="B16" s="2">
        <f t="shared" si="0"/>
        <v>0.27272727272727276</v>
      </c>
      <c r="C16" s="2">
        <f t="shared" si="0"/>
        <v>0.2857142857142857</v>
      </c>
      <c r="D16" s="2">
        <f t="shared" si="0"/>
        <v>0.33333333333333331</v>
      </c>
      <c r="E16" s="2">
        <f>SUM(B16:D16)</f>
        <v>0.89177489177489178</v>
      </c>
      <c r="F16" s="2">
        <f>E16/3</f>
        <v>0.29725829725829728</v>
      </c>
      <c r="G16" s="2">
        <f>F16*C$10</f>
        <v>1.0404040404040404</v>
      </c>
    </row>
    <row r="17" spans="1:7" ht="15" customHeight="1" x14ac:dyDescent="0.35">
      <c r="A17" s="2" t="s">
        <v>5</v>
      </c>
      <c r="B17" s="2">
        <f t="shared" si="0"/>
        <v>0.18181818181818182</v>
      </c>
      <c r="C17" s="2">
        <f t="shared" si="0"/>
        <v>0.14285714285714285</v>
      </c>
      <c r="D17" s="2">
        <f t="shared" si="0"/>
        <v>0.16666666666666666</v>
      </c>
      <c r="E17" s="2">
        <f>SUM(B17:D17)</f>
        <v>0.4913419913419913</v>
      </c>
      <c r="F17" s="2">
        <f>E17/3</f>
        <v>0.16378066378066378</v>
      </c>
      <c r="G17" s="2">
        <f>F17*D$10</f>
        <v>0.9826839826839826</v>
      </c>
    </row>
    <row r="18" spans="1:7" ht="15" customHeight="1" x14ac:dyDescent="0.35">
      <c r="A18" s="2" t="s">
        <v>6</v>
      </c>
      <c r="B18" s="2"/>
      <c r="C18" s="2"/>
      <c r="D18" s="2"/>
      <c r="E18" s="2"/>
      <c r="F18" s="2">
        <f>SUM(F15:F17)</f>
        <v>1</v>
      </c>
      <c r="G18" s="2">
        <f>SUM(G15:G17)</f>
        <v>3.0111832611832607</v>
      </c>
    </row>
    <row r="19" spans="1:7" ht="15" customHeight="1" x14ac:dyDescent="0.35">
      <c r="A19" s="2"/>
      <c r="B19" s="2"/>
      <c r="C19" s="2"/>
      <c r="D19" s="2"/>
      <c r="E19" s="2"/>
      <c r="F19" s="2"/>
      <c r="G19" s="2"/>
    </row>
    <row r="20" spans="1:7" ht="15" customHeight="1" x14ac:dyDescent="0.35">
      <c r="A20" s="3" t="s">
        <v>13</v>
      </c>
      <c r="B20" s="2"/>
      <c r="C20" s="2"/>
      <c r="D20" s="2"/>
      <c r="E20" s="2"/>
      <c r="F20" s="2"/>
      <c r="G20" s="2"/>
    </row>
    <row r="21" spans="1:7" ht="15" customHeight="1" x14ac:dyDescent="0.35">
      <c r="A21" s="2" t="s">
        <v>14</v>
      </c>
      <c r="B21" s="2">
        <f>G18</f>
        <v>3.0111832611832607</v>
      </c>
      <c r="C21" s="2"/>
      <c r="D21" s="2"/>
      <c r="E21" s="2"/>
      <c r="F21" s="2"/>
      <c r="G21" s="2"/>
    </row>
    <row r="22" spans="1:7" ht="15" customHeight="1" x14ac:dyDescent="0.35">
      <c r="A22" s="2" t="s">
        <v>15</v>
      </c>
      <c r="B22" s="2">
        <v>3</v>
      </c>
      <c r="C22" s="2"/>
      <c r="D22" s="2"/>
      <c r="E22" s="2"/>
      <c r="F22" s="2"/>
      <c r="G22" s="2"/>
    </row>
    <row r="23" spans="1:7" ht="15" customHeight="1" x14ac:dyDescent="0.35">
      <c r="A23" s="2" t="s">
        <v>16</v>
      </c>
      <c r="B23" s="2">
        <f>(B21-B22)/(B22-1)</f>
        <v>5.5916305916303699E-3</v>
      </c>
      <c r="C23" s="2"/>
      <c r="D23" s="2"/>
      <c r="E23" s="2"/>
      <c r="F23" s="2"/>
      <c r="G23" s="2"/>
    </row>
    <row r="24" spans="1:7" ht="15" customHeight="1" x14ac:dyDescent="0.35">
      <c r="A24" s="2" t="s">
        <v>17</v>
      </c>
      <c r="B24" s="2">
        <v>0.57999999999999996</v>
      </c>
      <c r="C24" s="2"/>
      <c r="D24" s="2"/>
      <c r="E24" s="2"/>
      <c r="F24" s="2"/>
      <c r="G24" s="2"/>
    </row>
    <row r="25" spans="1:7" ht="15" customHeight="1" x14ac:dyDescent="0.35">
      <c r="A25" s="2" t="s">
        <v>18</v>
      </c>
      <c r="B25" s="2">
        <f>B23/B24</f>
        <v>9.6407423993627069E-3</v>
      </c>
      <c r="C25" s="2"/>
      <c r="D25" s="2"/>
      <c r="E25" s="2"/>
      <c r="F25" s="2"/>
      <c r="G25" s="2"/>
    </row>
    <row r="26" spans="1:7" ht="15" customHeight="1" x14ac:dyDescent="0.35">
      <c r="A26" s="2" t="s">
        <v>19</v>
      </c>
      <c r="B26" s="2" t="str">
        <f>IF(B25&lt;=0.1,"KONSISTEN - bobot valid digunakan","TIDAK KONSISTEN - revisi penilaian pairwise")</f>
        <v>KONSISTEN - bobot valid digunakan</v>
      </c>
      <c r="C26" s="2"/>
      <c r="D26" s="2"/>
      <c r="E26" s="2"/>
      <c r="F26" s="2"/>
      <c r="G26" s="2"/>
    </row>
    <row r="27" spans="1:7" ht="15" customHeight="1" x14ac:dyDescent="0.35">
      <c r="A27" s="2"/>
      <c r="B27" s="2"/>
      <c r="C27" s="2"/>
      <c r="D27" s="2"/>
      <c r="E27" s="2"/>
      <c r="F27" s="2"/>
      <c r="G27" s="2"/>
    </row>
    <row r="28" spans="1:7" ht="15" customHeight="1" x14ac:dyDescent="0.35">
      <c r="A28" s="3" t="s">
        <v>20</v>
      </c>
      <c r="B28" s="2"/>
      <c r="C28" s="2"/>
      <c r="D28" s="2"/>
      <c r="E28" s="2"/>
      <c r="F28" s="2"/>
      <c r="G28" s="2"/>
    </row>
    <row r="29" spans="1:7" ht="15" customHeight="1" x14ac:dyDescent="0.35">
      <c r="A29" s="2" t="s">
        <v>21</v>
      </c>
      <c r="B29" s="2">
        <f>F15</f>
        <v>0.53896103896103897</v>
      </c>
      <c r="C29" s="2"/>
      <c r="D29" s="2"/>
      <c r="E29" s="2"/>
      <c r="F29" s="2"/>
      <c r="G29" s="2"/>
    </row>
    <row r="30" spans="1:7" ht="15" customHeight="1" x14ac:dyDescent="0.35">
      <c r="A30" s="2" t="s">
        <v>22</v>
      </c>
      <c r="B30" s="2">
        <f>F16</f>
        <v>0.29725829725829728</v>
      </c>
      <c r="C30" s="2"/>
      <c r="D30" s="2"/>
      <c r="E30" s="2"/>
      <c r="F30" s="2"/>
      <c r="G30" s="2"/>
    </row>
    <row r="31" spans="1:7" ht="15" customHeight="1" x14ac:dyDescent="0.35">
      <c r="A31" s="2" t="s">
        <v>23</v>
      </c>
      <c r="B31" s="2">
        <f>F17</f>
        <v>0.16378066378066378</v>
      </c>
      <c r="C31" s="2"/>
      <c r="D31" s="2"/>
      <c r="E31" s="2"/>
      <c r="F31" s="2"/>
      <c r="G31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5" customHeight="1" x14ac:dyDescent="0.35">
      <c r="A1" s="3" t="s">
        <v>34</v>
      </c>
    </row>
    <row r="2" spans="1:1" ht="15" customHeight="1" x14ac:dyDescent="0.35">
      <c r="A2" s="2"/>
    </row>
    <row r="3" spans="1:1" ht="15" customHeight="1" x14ac:dyDescent="0.35">
      <c r="A3" s="2" t="s">
        <v>35</v>
      </c>
    </row>
    <row r="4" spans="1:1" ht="15" customHeight="1" x14ac:dyDescent="0.35">
      <c r="A4" s="2" t="s">
        <v>36</v>
      </c>
    </row>
    <row r="5" spans="1:1" ht="15" customHeight="1" x14ac:dyDescent="0.35">
      <c r="A5" s="2" t="s">
        <v>37</v>
      </c>
    </row>
    <row r="6" spans="1:1" ht="15" customHeight="1" x14ac:dyDescent="0.35">
      <c r="A6" s="2" t="s">
        <v>38</v>
      </c>
    </row>
    <row r="7" spans="1:1" ht="15" customHeight="1" x14ac:dyDescent="0.35">
      <c r="A7" s="2"/>
    </row>
    <row r="8" spans="1:1" ht="15" customHeight="1" x14ac:dyDescent="0.35">
      <c r="A8" s="2" t="s">
        <v>39</v>
      </c>
    </row>
    <row r="9" spans="1:1" ht="15" customHeight="1" x14ac:dyDescent="0.35">
      <c r="A9" s="2" t="s">
        <v>40</v>
      </c>
    </row>
    <row r="10" spans="1:1" ht="15" customHeight="1" x14ac:dyDescent="0.35">
      <c r="A10" s="2" t="s">
        <v>41</v>
      </c>
    </row>
    <row r="11" spans="1:1" ht="15" customHeight="1" x14ac:dyDescent="0.35">
      <c r="A11" s="2"/>
    </row>
    <row r="12" spans="1:1" ht="15" customHeight="1" x14ac:dyDescent="0.35">
      <c r="A12" s="2" t="s">
        <v>42</v>
      </c>
    </row>
    <row r="13" spans="1:1" ht="15" customHeight="1" x14ac:dyDescent="0.35">
      <c r="A13" s="2" t="s">
        <v>43</v>
      </c>
    </row>
    <row r="14" spans="1:1" ht="15" customHeight="1" x14ac:dyDescent="0.35">
      <c r="A14" s="2" t="s">
        <v>44</v>
      </c>
    </row>
    <row r="15" spans="1:1" ht="15" customHeight="1" x14ac:dyDescent="0.35">
      <c r="A15" s="2"/>
    </row>
    <row r="16" spans="1:1" ht="15" customHeight="1" x14ac:dyDescent="0.35">
      <c r="A16" s="2" t="s">
        <v>45</v>
      </c>
    </row>
    <row r="17" spans="1:1" ht="15" customHeight="1" x14ac:dyDescent="0.35">
      <c r="A17" s="2" t="s">
        <v>46</v>
      </c>
    </row>
    <row r="18" spans="1:1" ht="15" customHeight="1" x14ac:dyDescent="0.35">
      <c r="A18" s="2"/>
    </row>
    <row r="19" spans="1:1" ht="15" customHeight="1" x14ac:dyDescent="0.35">
      <c r="A19" s="2" t="s">
        <v>47</v>
      </c>
    </row>
    <row r="20" spans="1:1" ht="15" customHeight="1" x14ac:dyDescent="0.35">
      <c r="A20" s="2"/>
    </row>
    <row r="21" spans="1:1" ht="15" customHeight="1" x14ac:dyDescent="0.35">
      <c r="A21" s="2" t="s">
        <v>48</v>
      </c>
    </row>
    <row r="23" spans="1:1" ht="15" customHeight="1" x14ac:dyDescent="0.35">
      <c r="A23" s="3" t="s">
        <v>49</v>
      </c>
    </row>
    <row r="24" spans="1:1" ht="15" customHeight="1" x14ac:dyDescent="0.35">
      <c r="A24" s="2" t="s">
        <v>50</v>
      </c>
    </row>
    <row r="25" spans="1:1" ht="15" customHeight="1" x14ac:dyDescent="0.35">
      <c r="A25" s="2" t="s">
        <v>51</v>
      </c>
    </row>
    <row r="26" spans="1:1" ht="15" customHeight="1" x14ac:dyDescent="0.35">
      <c r="A26" s="2" t="s">
        <v>52</v>
      </c>
    </row>
    <row r="27" spans="1:1" ht="15" customHeight="1" x14ac:dyDescent="0.35">
      <c r="A27" s="2" t="s">
        <v>53</v>
      </c>
    </row>
    <row r="28" spans="1:1" ht="15" customHeight="1" x14ac:dyDescent="0.35">
      <c r="A28" s="2" t="s">
        <v>54</v>
      </c>
    </row>
    <row r="29" spans="1:1" ht="15" customHeight="1" x14ac:dyDescent="0.35">
      <c r="A29" s="2" t="s">
        <v>55</v>
      </c>
    </row>
    <row r="30" spans="1:1" ht="15" customHeight="1" x14ac:dyDescent="0.35">
      <c r="A30" s="2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Skoring Potensi Aktivitas</vt:lpstr>
      <vt:lpstr>AHP Bobot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 Aspire</cp:lastModifiedBy>
  <cp:revision>0</cp:revision>
  <dcterms:created xsi:type="dcterms:W3CDTF">2026-09-10T15:34:39Z</dcterms:created>
  <dcterms:modified xsi:type="dcterms:W3CDTF">2026-09-10T16:36:58Z</dcterms:modified>
  <dc:language>en-US</dc:language>
</cp:coreProperties>
</file>