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Kuliah Radyt\Mohammad Radyt Fahrasya\Lomba\Mapid\Data Webgis\data final\"/>
    </mc:Choice>
  </mc:AlternateContent>
  <xr:revisionPtr revIDLastSave="0" documentId="13_ncr:1_{05DA315C-E259-4A34-A263-46503FFBCD6F}" xr6:coauthVersionLast="47" xr6:coauthVersionMax="47" xr10:uidLastSave="{00000000-0000-0000-0000-000000000000}"/>
  <bookViews>
    <workbookView xWindow="-110" yWindow="-110" windowWidth="19420" windowHeight="12220" tabRatio="500" xr2:uid="{00000000-000D-0000-FFFF-FFFF00000000}"/>
  </bookViews>
  <sheets>
    <sheet name="Ringkasan" sheetId="1" r:id="rId1"/>
    <sheet name="AHP" sheetId="3" r:id="rId2"/>
    <sheet name="Detail Aksesibilitas" sheetId="4" r:id="rId3"/>
    <sheet name="Detail Kondisi" sheetId="5" r:id="rId4"/>
    <sheet name="Detail Lingkungan" sheetId="6" r:id="rId5"/>
    <sheet name="Deskripsi Asli" sheetId="7" r:id="rId6"/>
    <sheet name="Koordinat" sheetId="8"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3" i="1" l="1" a="1"/>
  <c r="J3" i="1"/>
  <c r="J4" i="1" a="1"/>
  <c r="J4" i="1" s="1"/>
  <c r="J5" i="1" a="1"/>
  <c r="J5" i="1"/>
  <c r="J6" i="1" a="1"/>
  <c r="J6" i="1"/>
  <c r="J7" i="1" a="1"/>
  <c r="J7" i="1"/>
  <c r="J8" i="1" a="1"/>
  <c r="J8" i="1"/>
  <c r="J9" i="1" a="1"/>
  <c r="J9" i="1" s="1"/>
  <c r="J10" i="1" a="1"/>
  <c r="J10" i="1"/>
  <c r="J11" i="1" a="1"/>
  <c r="J11" i="1"/>
  <c r="J12" i="1" a="1"/>
  <c r="J12" i="1"/>
  <c r="J13" i="1" a="1"/>
  <c r="J13" i="1"/>
  <c r="J14" i="1" a="1"/>
  <c r="J14" i="1"/>
  <c r="J15" i="1" a="1"/>
  <c r="J15" i="1" s="1"/>
  <c r="J16" i="1" a="1"/>
  <c r="J16" i="1"/>
  <c r="J17" i="1" a="1"/>
  <c r="J17" i="1"/>
  <c r="J18" i="1" a="1"/>
  <c r="J18" i="1"/>
  <c r="J19" i="1" a="1"/>
  <c r="J19" i="1"/>
  <c r="J20" i="1" a="1"/>
  <c r="J20" i="1"/>
  <c r="J21" i="1" a="1"/>
  <c r="J21" i="1" s="1"/>
  <c r="J22" i="1" a="1"/>
  <c r="J22" i="1"/>
  <c r="J23" i="1" a="1"/>
  <c r="J23" i="1"/>
  <c r="J24" i="1" a="1"/>
  <c r="J24" i="1"/>
  <c r="J25" i="1" a="1"/>
  <c r="J25" i="1"/>
  <c r="J26" i="1" a="1"/>
  <c r="J26" i="1"/>
  <c r="J27" i="1" a="1"/>
  <c r="J27" i="1" s="1"/>
  <c r="J28" i="1" a="1"/>
  <c r="J28" i="1"/>
  <c r="J29" i="1" a="1"/>
  <c r="J29" i="1"/>
  <c r="J30" i="1" a="1"/>
  <c r="J30" i="1"/>
  <c r="J31" i="1" a="1"/>
  <c r="J31" i="1"/>
  <c r="J32" i="1" a="1"/>
  <c r="J32" i="1"/>
  <c r="J33" i="1" a="1"/>
  <c r="J33" i="1" s="1"/>
  <c r="J34" i="1" a="1"/>
  <c r="J34" i="1"/>
  <c r="J35" i="1" a="1"/>
  <c r="J35" i="1"/>
  <c r="J36" i="1" a="1"/>
  <c r="J36" i="1"/>
  <c r="J37" i="1" a="1"/>
  <c r="J37" i="1"/>
  <c r="J38" i="1" a="1"/>
  <c r="J38" i="1"/>
  <c r="J39" i="1" a="1"/>
  <c r="J39" i="1" s="1"/>
  <c r="J40" i="1" a="1"/>
  <c r="J40" i="1"/>
  <c r="J41" i="1" a="1"/>
  <c r="J41" i="1"/>
  <c r="J42" i="1" a="1"/>
  <c r="J42" i="1"/>
  <c r="J43" i="1" a="1"/>
  <c r="J43" i="1"/>
  <c r="J44" i="1" a="1"/>
  <c r="J44" i="1"/>
  <c r="J45" i="1" a="1"/>
  <c r="J45" i="1" s="1"/>
  <c r="J46" i="1" a="1"/>
  <c r="J46" i="1"/>
  <c r="J47" i="1" a="1"/>
  <c r="J47" i="1"/>
  <c r="J48" i="1" a="1"/>
  <c r="J48" i="1"/>
  <c r="J49" i="1" a="1"/>
  <c r="J49" i="1"/>
  <c r="J50" i="1" a="1"/>
  <c r="J50" i="1"/>
  <c r="J51" i="1" a="1"/>
  <c r="J51" i="1" s="1"/>
  <c r="J52" i="1" a="1"/>
  <c r="J52" i="1"/>
  <c r="J53" i="1" a="1"/>
  <c r="J53" i="1"/>
  <c r="J54" i="1" a="1"/>
  <c r="J54" i="1"/>
  <c r="J55" i="1" a="1"/>
  <c r="J55" i="1"/>
  <c r="J56" i="1" a="1"/>
  <c r="J56" i="1"/>
  <c r="J57" i="1" a="1"/>
  <c r="J57" i="1" s="1"/>
  <c r="J58" i="1" a="1"/>
  <c r="J58" i="1"/>
  <c r="J59" i="1" a="1"/>
  <c r="J59" i="1"/>
  <c r="J60" i="1" a="1"/>
  <c r="J60" i="1"/>
  <c r="J61" i="1" a="1"/>
  <c r="J61" i="1"/>
  <c r="J62" i="1" a="1"/>
  <c r="J62" i="1"/>
  <c r="J63" i="1" a="1"/>
  <c r="J63" i="1" s="1"/>
  <c r="J64" i="1" a="1"/>
  <c r="J64" i="1"/>
  <c r="J65" i="1" a="1"/>
  <c r="J65" i="1"/>
  <c r="J2" i="1" a="1"/>
  <c r="J2" i="1"/>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2" i="6"/>
  <c r="C65" i="5"/>
  <c r="B65" i="5"/>
  <c r="D65" i="5" s="1"/>
  <c r="C64" i="5"/>
  <c r="B64" i="5"/>
  <c r="D64" i="5" s="1"/>
  <c r="C63" i="5"/>
  <c r="B63" i="5"/>
  <c r="D63" i="5" s="1"/>
  <c r="C62" i="5"/>
  <c r="B62" i="5"/>
  <c r="D62" i="5" s="1"/>
  <c r="C61" i="5"/>
  <c r="B61" i="5"/>
  <c r="D61" i="5" s="1"/>
  <c r="C60" i="5"/>
  <c r="B60" i="5"/>
  <c r="D60" i="5" s="1"/>
  <c r="C59" i="5"/>
  <c r="B59" i="5"/>
  <c r="D59" i="5" s="1"/>
  <c r="C58" i="5"/>
  <c r="B58" i="5"/>
  <c r="D58" i="5" s="1"/>
  <c r="C57" i="5"/>
  <c r="B57" i="5"/>
  <c r="D57" i="5" s="1"/>
  <c r="C56" i="5"/>
  <c r="B56" i="5"/>
  <c r="D56" i="5" s="1"/>
  <c r="C55" i="5"/>
  <c r="B55" i="5"/>
  <c r="D55" i="5" s="1"/>
  <c r="C54" i="5"/>
  <c r="B54" i="5"/>
  <c r="D54" i="5" s="1"/>
  <c r="C53" i="5"/>
  <c r="B53" i="5"/>
  <c r="D53" i="5" s="1"/>
  <c r="C52" i="5"/>
  <c r="B52" i="5"/>
  <c r="D52" i="5" s="1"/>
  <c r="C51" i="5"/>
  <c r="B51" i="5"/>
  <c r="D51" i="5" s="1"/>
  <c r="C50" i="5"/>
  <c r="B50" i="5"/>
  <c r="D50" i="5" s="1"/>
  <c r="C49" i="5"/>
  <c r="B49" i="5"/>
  <c r="D49" i="5" s="1"/>
  <c r="C48" i="5"/>
  <c r="B48" i="5"/>
  <c r="D48" i="5" s="1"/>
  <c r="C47" i="5"/>
  <c r="B47" i="5"/>
  <c r="D47" i="5" s="1"/>
  <c r="C46" i="5"/>
  <c r="B46" i="5"/>
  <c r="D46" i="5" s="1"/>
  <c r="C45" i="5"/>
  <c r="B45" i="5"/>
  <c r="D45" i="5" s="1"/>
  <c r="C44" i="5"/>
  <c r="B44" i="5"/>
  <c r="D44" i="5" s="1"/>
  <c r="C43" i="5"/>
  <c r="B43" i="5"/>
  <c r="D43" i="5" s="1"/>
  <c r="C42" i="5"/>
  <c r="B42" i="5"/>
  <c r="D42" i="5" s="1"/>
  <c r="C41" i="5"/>
  <c r="B41" i="5"/>
  <c r="D41" i="5" s="1"/>
  <c r="C40" i="5"/>
  <c r="B40" i="5"/>
  <c r="D40" i="5" s="1"/>
  <c r="C39" i="5"/>
  <c r="B39" i="5"/>
  <c r="D39" i="5" s="1"/>
  <c r="C38" i="5"/>
  <c r="B38" i="5"/>
  <c r="D38" i="5" s="1"/>
  <c r="C37" i="5"/>
  <c r="B37" i="5"/>
  <c r="D37" i="5" s="1"/>
  <c r="C36" i="5"/>
  <c r="B36" i="5"/>
  <c r="D36" i="5" s="1"/>
  <c r="C35" i="5"/>
  <c r="B35" i="5"/>
  <c r="D35" i="5" s="1"/>
  <c r="C34" i="5"/>
  <c r="B34" i="5"/>
  <c r="D34" i="5" s="1"/>
  <c r="C33" i="5"/>
  <c r="B33" i="5"/>
  <c r="D33" i="5" s="1"/>
  <c r="C32" i="5"/>
  <c r="B32" i="5"/>
  <c r="D32" i="5" s="1"/>
  <c r="C31" i="5"/>
  <c r="B31" i="5"/>
  <c r="D31" i="5" s="1"/>
  <c r="C30" i="5"/>
  <c r="B30" i="5"/>
  <c r="D30" i="5" s="1"/>
  <c r="C29" i="5"/>
  <c r="B29" i="5"/>
  <c r="D29" i="5" s="1"/>
  <c r="C28" i="5"/>
  <c r="B28" i="5"/>
  <c r="D28" i="5" s="1"/>
  <c r="C27" i="5"/>
  <c r="B27" i="5"/>
  <c r="D27" i="5" s="1"/>
  <c r="C26" i="5"/>
  <c r="B26" i="5"/>
  <c r="D26" i="5" s="1"/>
  <c r="C25" i="5"/>
  <c r="B25" i="5"/>
  <c r="D25" i="5" s="1"/>
  <c r="C24" i="5"/>
  <c r="B24" i="5"/>
  <c r="D24" i="5" s="1"/>
  <c r="C23" i="5"/>
  <c r="B23" i="5"/>
  <c r="D23" i="5" s="1"/>
  <c r="C22" i="5"/>
  <c r="B22" i="5"/>
  <c r="D22" i="5" s="1"/>
  <c r="C21" i="5"/>
  <c r="B21" i="5"/>
  <c r="D21" i="5" s="1"/>
  <c r="C20" i="5"/>
  <c r="B20" i="5"/>
  <c r="D20" i="5" s="1"/>
  <c r="C19" i="5"/>
  <c r="B19" i="5"/>
  <c r="D19" i="5" s="1"/>
  <c r="C18" i="5"/>
  <c r="B18" i="5"/>
  <c r="D18" i="5" s="1"/>
  <c r="C17" i="5"/>
  <c r="B17" i="5"/>
  <c r="D17" i="5" s="1"/>
  <c r="C16" i="5"/>
  <c r="B16" i="5"/>
  <c r="D16" i="5" s="1"/>
  <c r="C15" i="5"/>
  <c r="B15" i="5"/>
  <c r="D15" i="5" s="1"/>
  <c r="C14" i="5"/>
  <c r="B14" i="5"/>
  <c r="D14" i="5" s="1"/>
  <c r="C13" i="5"/>
  <c r="B13" i="5"/>
  <c r="D13" i="5" s="1"/>
  <c r="C12" i="5"/>
  <c r="B12" i="5"/>
  <c r="D12" i="5" s="1"/>
  <c r="C11" i="5"/>
  <c r="B11" i="5"/>
  <c r="D11" i="5" s="1"/>
  <c r="C10" i="5"/>
  <c r="B10" i="5"/>
  <c r="D10" i="5" s="1"/>
  <c r="C9" i="5"/>
  <c r="B9" i="5"/>
  <c r="D9" i="5" s="1"/>
  <c r="C8" i="5"/>
  <c r="B8" i="5"/>
  <c r="D8" i="5" s="1"/>
  <c r="C7" i="5"/>
  <c r="B7" i="5"/>
  <c r="D7" i="5" s="1"/>
  <c r="C6" i="5"/>
  <c r="B6" i="5"/>
  <c r="D6" i="5" s="1"/>
  <c r="C5" i="5"/>
  <c r="B5" i="5"/>
  <c r="D5" i="5" s="1"/>
  <c r="C4" i="5"/>
  <c r="B4" i="5"/>
  <c r="D4" i="5" s="1"/>
  <c r="C3" i="5"/>
  <c r="B3" i="5"/>
  <c r="D3" i="5" s="1"/>
  <c r="C2" i="5"/>
  <c r="B2" i="5"/>
  <c r="D2" i="5" s="1"/>
  <c r="K65" i="4"/>
  <c r="J65" i="4"/>
  <c r="L65" i="4" s="1"/>
  <c r="K64" i="4"/>
  <c r="J64" i="4"/>
  <c r="L64" i="4" s="1"/>
  <c r="K63" i="4"/>
  <c r="J63" i="4"/>
  <c r="L63" i="4" s="1"/>
  <c r="K62" i="4"/>
  <c r="J62" i="4"/>
  <c r="L62" i="4" s="1"/>
  <c r="K61" i="4"/>
  <c r="J61" i="4"/>
  <c r="L61" i="4" s="1"/>
  <c r="K60" i="4"/>
  <c r="J60" i="4"/>
  <c r="L60" i="4" s="1"/>
  <c r="K59" i="4"/>
  <c r="J59" i="4"/>
  <c r="L59" i="4" s="1"/>
  <c r="K58" i="4"/>
  <c r="J58" i="4"/>
  <c r="L58" i="4" s="1"/>
  <c r="K57" i="4"/>
  <c r="J57" i="4"/>
  <c r="L57" i="4" s="1"/>
  <c r="K56" i="4"/>
  <c r="J56" i="4"/>
  <c r="L56" i="4" s="1"/>
  <c r="K55" i="4"/>
  <c r="J55" i="4"/>
  <c r="L55" i="4" s="1"/>
  <c r="K54" i="4"/>
  <c r="J54" i="4"/>
  <c r="L54" i="4" s="1"/>
  <c r="K53" i="4"/>
  <c r="J53" i="4"/>
  <c r="L53" i="4" s="1"/>
  <c r="K52" i="4"/>
  <c r="J52" i="4"/>
  <c r="L52" i="4" s="1"/>
  <c r="K51" i="4"/>
  <c r="J51" i="4"/>
  <c r="L51" i="4" s="1"/>
  <c r="K50" i="4"/>
  <c r="J50" i="4"/>
  <c r="L50" i="4" s="1"/>
  <c r="K49" i="4"/>
  <c r="J49" i="4"/>
  <c r="L49" i="4" s="1"/>
  <c r="K48" i="4"/>
  <c r="J48" i="4"/>
  <c r="L48" i="4" s="1"/>
  <c r="K47" i="4"/>
  <c r="J47" i="4"/>
  <c r="L47" i="4" s="1"/>
  <c r="K46" i="4"/>
  <c r="J46" i="4"/>
  <c r="L46" i="4" s="1"/>
  <c r="K45" i="4"/>
  <c r="J45" i="4"/>
  <c r="L45" i="4" s="1"/>
  <c r="K44" i="4"/>
  <c r="J44" i="4"/>
  <c r="L44" i="4" s="1"/>
  <c r="K43" i="4"/>
  <c r="J43" i="4"/>
  <c r="L43" i="4" s="1"/>
  <c r="K42" i="4"/>
  <c r="J42" i="4"/>
  <c r="L42" i="4" s="1"/>
  <c r="K41" i="4"/>
  <c r="J41" i="4"/>
  <c r="L41" i="4" s="1"/>
  <c r="K40" i="4"/>
  <c r="J40" i="4"/>
  <c r="L40" i="4" s="1"/>
  <c r="K39" i="4"/>
  <c r="J39" i="4"/>
  <c r="L39" i="4" s="1"/>
  <c r="K38" i="4"/>
  <c r="J38" i="4"/>
  <c r="L38" i="4" s="1"/>
  <c r="K37" i="4"/>
  <c r="J37" i="4"/>
  <c r="L37" i="4" s="1"/>
  <c r="K36" i="4"/>
  <c r="J36" i="4"/>
  <c r="L36" i="4" s="1"/>
  <c r="K35" i="4"/>
  <c r="J35" i="4"/>
  <c r="L35" i="4" s="1"/>
  <c r="K34" i="4"/>
  <c r="J34" i="4"/>
  <c r="L34" i="4" s="1"/>
  <c r="K33" i="4"/>
  <c r="J33" i="4"/>
  <c r="L33" i="4" s="1"/>
  <c r="K32" i="4"/>
  <c r="J32" i="4"/>
  <c r="L32" i="4" s="1"/>
  <c r="K31" i="4"/>
  <c r="J31" i="4"/>
  <c r="L31" i="4" s="1"/>
  <c r="K30" i="4"/>
  <c r="J30" i="4"/>
  <c r="L30" i="4" s="1"/>
  <c r="K29" i="4"/>
  <c r="J29" i="4"/>
  <c r="L29" i="4" s="1"/>
  <c r="K28" i="4"/>
  <c r="J28" i="4"/>
  <c r="L28" i="4" s="1"/>
  <c r="K27" i="4"/>
  <c r="J27" i="4"/>
  <c r="L27" i="4" s="1"/>
  <c r="K26" i="4"/>
  <c r="J26" i="4"/>
  <c r="L26" i="4" s="1"/>
  <c r="K25" i="4"/>
  <c r="J25" i="4"/>
  <c r="L25" i="4" s="1"/>
  <c r="K24" i="4"/>
  <c r="J24" i="4"/>
  <c r="L24" i="4" s="1"/>
  <c r="K23" i="4"/>
  <c r="J23" i="4"/>
  <c r="L23" i="4" s="1"/>
  <c r="K22" i="4"/>
  <c r="J22" i="4"/>
  <c r="L22" i="4" s="1"/>
  <c r="K21" i="4"/>
  <c r="J21" i="4"/>
  <c r="L21" i="4" s="1"/>
  <c r="K20" i="4"/>
  <c r="J20" i="4"/>
  <c r="L20" i="4" s="1"/>
  <c r="K19" i="4"/>
  <c r="J19" i="4"/>
  <c r="L19" i="4" s="1"/>
  <c r="K18" i="4"/>
  <c r="J18" i="4"/>
  <c r="L18" i="4" s="1"/>
  <c r="K17" i="4"/>
  <c r="J17" i="4"/>
  <c r="L17" i="4" s="1"/>
  <c r="K16" i="4"/>
  <c r="J16" i="4"/>
  <c r="L16" i="4" s="1"/>
  <c r="K15" i="4"/>
  <c r="J15" i="4"/>
  <c r="L15" i="4" s="1"/>
  <c r="K14" i="4"/>
  <c r="J14" i="4"/>
  <c r="L14" i="4" s="1"/>
  <c r="K13" i="4"/>
  <c r="J13" i="4"/>
  <c r="L13" i="4" s="1"/>
  <c r="K12" i="4"/>
  <c r="J12" i="4"/>
  <c r="L12" i="4" s="1"/>
  <c r="K11" i="4"/>
  <c r="J11" i="4"/>
  <c r="L11" i="4" s="1"/>
  <c r="K10" i="4"/>
  <c r="J10" i="4"/>
  <c r="L10" i="4" s="1"/>
  <c r="K9" i="4"/>
  <c r="J9" i="4"/>
  <c r="L9" i="4" s="1"/>
  <c r="K8" i="4"/>
  <c r="J8" i="4"/>
  <c r="L8" i="4" s="1"/>
  <c r="K7" i="4"/>
  <c r="J7" i="4"/>
  <c r="L7" i="4" s="1"/>
  <c r="K6" i="4"/>
  <c r="J6" i="4"/>
  <c r="L6" i="4" s="1"/>
  <c r="K5" i="4"/>
  <c r="J5" i="4"/>
  <c r="L5" i="4" s="1"/>
  <c r="K4" i="4"/>
  <c r="J4" i="4"/>
  <c r="L4" i="4" s="1"/>
  <c r="K3" i="4"/>
  <c r="J3" i="4"/>
  <c r="L3" i="4" s="1"/>
  <c r="K2" i="4"/>
  <c r="J2" i="4"/>
  <c r="L2" i="4" s="1"/>
  <c r="D10" i="3"/>
  <c r="D17" i="3" s="1"/>
  <c r="C10" i="3"/>
  <c r="C17" i="3" s="1"/>
  <c r="C9" i="3"/>
  <c r="B9" i="3"/>
  <c r="B8" i="3"/>
  <c r="K65" i="1"/>
  <c r="H65" i="1" s="1"/>
  <c r="I65" i="1"/>
  <c r="K64" i="1"/>
  <c r="H64" i="1" s="1"/>
  <c r="I64" i="1"/>
  <c r="K63" i="1"/>
  <c r="H63" i="1" s="1"/>
  <c r="I63" i="1"/>
  <c r="K62" i="1"/>
  <c r="H62" i="1" s="1"/>
  <c r="I62" i="1"/>
  <c r="K61" i="1"/>
  <c r="H61" i="1" s="1"/>
  <c r="I61" i="1"/>
  <c r="K60" i="1"/>
  <c r="H60" i="1" s="1"/>
  <c r="I60" i="1"/>
  <c r="K59" i="1"/>
  <c r="H59" i="1" s="1"/>
  <c r="I59" i="1"/>
  <c r="K58" i="1"/>
  <c r="H58" i="1" s="1"/>
  <c r="I58" i="1"/>
  <c r="K57" i="1"/>
  <c r="H57" i="1" s="1"/>
  <c r="I57" i="1"/>
  <c r="K56" i="1"/>
  <c r="H56" i="1" s="1"/>
  <c r="I56" i="1"/>
  <c r="K55" i="1"/>
  <c r="H55" i="1" s="1"/>
  <c r="I55" i="1"/>
  <c r="K54" i="1"/>
  <c r="H54" i="1" s="1"/>
  <c r="I54" i="1"/>
  <c r="K53" i="1"/>
  <c r="H53" i="1" s="1"/>
  <c r="I53" i="1"/>
  <c r="K52" i="1"/>
  <c r="H52" i="1" s="1"/>
  <c r="I52" i="1"/>
  <c r="K51" i="1"/>
  <c r="H51" i="1" s="1"/>
  <c r="I51" i="1"/>
  <c r="K50" i="1"/>
  <c r="H50" i="1" s="1"/>
  <c r="I50" i="1"/>
  <c r="K49" i="1"/>
  <c r="H49" i="1" s="1"/>
  <c r="I49" i="1"/>
  <c r="K48" i="1"/>
  <c r="H48" i="1" s="1"/>
  <c r="I48" i="1"/>
  <c r="K47" i="1"/>
  <c r="H47" i="1" s="1"/>
  <c r="I47" i="1"/>
  <c r="K46" i="1"/>
  <c r="H46" i="1" s="1"/>
  <c r="I46" i="1"/>
  <c r="K45" i="1"/>
  <c r="H45" i="1" s="1"/>
  <c r="I45" i="1"/>
  <c r="K44" i="1"/>
  <c r="H44" i="1" s="1"/>
  <c r="I44" i="1"/>
  <c r="K43" i="1"/>
  <c r="H43" i="1" s="1"/>
  <c r="I43" i="1"/>
  <c r="K42" i="1"/>
  <c r="H42" i="1" s="1"/>
  <c r="I42" i="1"/>
  <c r="K41" i="1"/>
  <c r="H41" i="1" s="1"/>
  <c r="I41" i="1"/>
  <c r="K40" i="1"/>
  <c r="H40" i="1" s="1"/>
  <c r="I40" i="1"/>
  <c r="K39" i="1"/>
  <c r="H39" i="1" s="1"/>
  <c r="I39" i="1"/>
  <c r="K38" i="1"/>
  <c r="H38" i="1" s="1"/>
  <c r="I38" i="1"/>
  <c r="K37" i="1"/>
  <c r="H37" i="1" s="1"/>
  <c r="I37" i="1"/>
  <c r="K36" i="1"/>
  <c r="H36" i="1" s="1"/>
  <c r="I36" i="1"/>
  <c r="K35" i="1"/>
  <c r="H35" i="1" s="1"/>
  <c r="I35" i="1"/>
  <c r="K34" i="1"/>
  <c r="H34" i="1" s="1"/>
  <c r="I34" i="1"/>
  <c r="K33" i="1"/>
  <c r="H33" i="1" s="1"/>
  <c r="I33" i="1"/>
  <c r="K32" i="1"/>
  <c r="H32" i="1" s="1"/>
  <c r="I32" i="1"/>
  <c r="K31" i="1"/>
  <c r="H31" i="1" s="1"/>
  <c r="I31" i="1"/>
  <c r="K30" i="1"/>
  <c r="H30" i="1" s="1"/>
  <c r="I30" i="1"/>
  <c r="K29" i="1"/>
  <c r="H29" i="1" s="1"/>
  <c r="I29" i="1"/>
  <c r="K28" i="1"/>
  <c r="H28" i="1" s="1"/>
  <c r="I28" i="1"/>
  <c r="K27" i="1"/>
  <c r="H27" i="1" s="1"/>
  <c r="I27" i="1"/>
  <c r="K26" i="1"/>
  <c r="H26" i="1" s="1"/>
  <c r="I26" i="1"/>
  <c r="K25" i="1"/>
  <c r="H25" i="1" s="1"/>
  <c r="I25" i="1"/>
  <c r="K24" i="1"/>
  <c r="H24" i="1" s="1"/>
  <c r="I24" i="1"/>
  <c r="K23" i="1"/>
  <c r="H23" i="1" s="1"/>
  <c r="I23" i="1"/>
  <c r="K22" i="1"/>
  <c r="H22" i="1" s="1"/>
  <c r="I22" i="1"/>
  <c r="K21" i="1"/>
  <c r="H21" i="1" s="1"/>
  <c r="I21" i="1"/>
  <c r="K20" i="1"/>
  <c r="H20" i="1" s="1"/>
  <c r="I20" i="1"/>
  <c r="K19" i="1"/>
  <c r="H19" i="1" s="1"/>
  <c r="I19" i="1"/>
  <c r="K18" i="1"/>
  <c r="H18" i="1" s="1"/>
  <c r="I18" i="1"/>
  <c r="K17" i="1"/>
  <c r="H17" i="1" s="1"/>
  <c r="I17" i="1"/>
  <c r="K16" i="1"/>
  <c r="H16" i="1" s="1"/>
  <c r="I16" i="1"/>
  <c r="K15" i="1"/>
  <c r="H15" i="1" s="1"/>
  <c r="I15" i="1"/>
  <c r="K14" i="1"/>
  <c r="H14" i="1" s="1"/>
  <c r="I14" i="1"/>
  <c r="K13" i="1"/>
  <c r="H13" i="1" s="1"/>
  <c r="I13" i="1"/>
  <c r="K12" i="1"/>
  <c r="H12" i="1" s="1"/>
  <c r="I12" i="1"/>
  <c r="K11" i="1"/>
  <c r="H11" i="1" s="1"/>
  <c r="I11" i="1"/>
  <c r="K10" i="1"/>
  <c r="H10" i="1" s="1"/>
  <c r="I10" i="1"/>
  <c r="K9" i="1"/>
  <c r="H9" i="1" s="1"/>
  <c r="I9" i="1"/>
  <c r="K8" i="1"/>
  <c r="H8" i="1" s="1"/>
  <c r="I8" i="1"/>
  <c r="K7" i="1"/>
  <c r="H7" i="1" s="1"/>
  <c r="I7" i="1"/>
  <c r="K6" i="1"/>
  <c r="H6" i="1" s="1"/>
  <c r="I6" i="1"/>
  <c r="K5" i="1"/>
  <c r="H5" i="1" s="1"/>
  <c r="I5" i="1"/>
  <c r="K4" i="1"/>
  <c r="H4" i="1" s="1"/>
  <c r="I4" i="1"/>
  <c r="K3" i="1"/>
  <c r="H3" i="1" s="1"/>
  <c r="I3" i="1"/>
  <c r="K2" i="1"/>
  <c r="H2" i="1" s="1"/>
  <c r="I2" i="1"/>
  <c r="C16" i="3" l="1"/>
  <c r="D16" i="3"/>
  <c r="B10" i="3"/>
  <c r="C15" i="3"/>
  <c r="D15" i="3"/>
  <c r="B17" i="3" l="1"/>
  <c r="E17" i="3" s="1"/>
  <c r="F17" i="3" s="1"/>
  <c r="B15" i="3"/>
  <c r="E15" i="3" s="1"/>
  <c r="F15" i="3" s="1"/>
  <c r="B16" i="3"/>
  <c r="E16" i="3" s="1"/>
  <c r="F16" i="3" s="1"/>
  <c r="B30" i="3" l="1"/>
  <c r="G16" i="3"/>
  <c r="F18" i="3"/>
  <c r="G15" i="3"/>
  <c r="B29" i="3"/>
  <c r="G17" i="3"/>
  <c r="B31" i="3"/>
  <c r="G63" i="1" l="1"/>
  <c r="G61" i="1"/>
  <c r="G59" i="1"/>
  <c r="G57" i="1"/>
  <c r="G55" i="1"/>
  <c r="G53" i="1"/>
  <c r="G51" i="1"/>
  <c r="G49" i="1"/>
  <c r="G47" i="1"/>
  <c r="G45" i="1"/>
  <c r="G43" i="1"/>
  <c r="G41" i="1"/>
  <c r="G39" i="1"/>
  <c r="G37" i="1"/>
  <c r="G35" i="1"/>
  <c r="G33" i="1"/>
  <c r="G31" i="1"/>
  <c r="G29" i="1"/>
  <c r="G65" i="1"/>
  <c r="G62" i="1"/>
  <c r="G64" i="1"/>
  <c r="G60" i="1"/>
  <c r="G58" i="1"/>
  <c r="G56" i="1"/>
  <c r="G54" i="1"/>
  <c r="G52" i="1"/>
  <c r="G50" i="1"/>
  <c r="G48" i="1"/>
  <c r="G46" i="1"/>
  <c r="G44" i="1"/>
  <c r="G42" i="1"/>
  <c r="G40" i="1"/>
  <c r="G38" i="1"/>
  <c r="G36" i="1"/>
  <c r="G34" i="1"/>
  <c r="G32" i="1"/>
  <c r="G30" i="1"/>
  <c r="G28" i="1"/>
  <c r="G26" i="1"/>
  <c r="G24" i="1"/>
  <c r="G22" i="1"/>
  <c r="G20" i="1"/>
  <c r="G18" i="1"/>
  <c r="G16" i="1"/>
  <c r="G14" i="1"/>
  <c r="G12" i="1"/>
  <c r="G10" i="1"/>
  <c r="G15" i="1"/>
  <c r="G6" i="1"/>
  <c r="G2" i="1"/>
  <c r="G5" i="1"/>
  <c r="G23" i="1"/>
  <c r="G27" i="1"/>
  <c r="G4" i="1"/>
  <c r="G25" i="1"/>
  <c r="G19" i="1"/>
  <c r="G9" i="1"/>
  <c r="G13" i="1"/>
  <c r="G17" i="1"/>
  <c r="G8" i="1"/>
  <c r="G7" i="1"/>
  <c r="G21" i="1"/>
  <c r="G3" i="1"/>
  <c r="G11" i="1"/>
  <c r="G18" i="3"/>
  <c r="B21" i="3" s="1"/>
  <c r="B23" i="3" s="1"/>
  <c r="B25" i="3" s="1"/>
  <c r="B26" i="3" s="1"/>
  <c r="A49" i="1" l="1"/>
  <c r="A17" i="1"/>
  <c r="A15" i="1"/>
  <c r="A56" i="1"/>
  <c r="A10" i="1"/>
  <c r="A58" i="1"/>
  <c r="A13" i="1"/>
  <c r="A36" i="1"/>
  <c r="A45" i="1"/>
  <c r="A14" i="1"/>
  <c r="A64" i="1"/>
  <c r="A19" i="1"/>
  <c r="A40" i="1"/>
  <c r="A25" i="1"/>
  <c r="A42" i="1"/>
  <c r="A51" i="1"/>
  <c r="A20" i="1"/>
  <c r="A29" i="1"/>
  <c r="A22" i="1"/>
  <c r="A55" i="1"/>
  <c r="A11" i="1"/>
  <c r="A24" i="1"/>
  <c r="A33" i="1"/>
  <c r="A3" i="1"/>
  <c r="A26" i="1"/>
  <c r="A35" i="1"/>
  <c r="A21" i="1"/>
  <c r="A2" i="1"/>
  <c r="A28" i="1"/>
  <c r="A52" i="1"/>
  <c r="A37" i="1"/>
  <c r="A61" i="1"/>
  <c r="A8" i="1"/>
  <c r="A32" i="1"/>
  <c r="A41" i="1"/>
  <c r="A34" i="1"/>
  <c r="A43" i="1"/>
  <c r="A12" i="1"/>
  <c r="A60" i="1"/>
  <c r="A9" i="1"/>
  <c r="A38" i="1"/>
  <c r="A47" i="1"/>
  <c r="A16" i="1"/>
  <c r="A62" i="1"/>
  <c r="A18" i="1"/>
  <c r="A65" i="1"/>
  <c r="A4" i="1"/>
  <c r="A44" i="1"/>
  <c r="A53" i="1"/>
  <c r="A27" i="1"/>
  <c r="A46" i="1"/>
  <c r="A31" i="1"/>
  <c r="A23" i="1"/>
  <c r="A48" i="1"/>
  <c r="A57" i="1"/>
  <c r="A5" i="1"/>
  <c r="A50" i="1"/>
  <c r="A59" i="1"/>
  <c r="A7" i="1"/>
  <c r="A6" i="1"/>
  <c r="A30" i="1"/>
  <c r="A54" i="1"/>
  <c r="A39" i="1"/>
  <c r="A6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1" authorId="0" shapeId="0" xr:uid="{00000000-0006-0000-0000-000001000000}">
      <text>
        <r>
          <rPr>
            <sz val="10"/>
            <rFont val="Arial"/>
            <family val="2"/>
          </rPr>
          <t>Longitude &amp; Latitude diambil dari Titik_koordinat.xlsx (sheet Koordinat), dicocokkan berdasarkan nama halte (kolom title).</t>
        </r>
      </text>
    </comment>
    <comment ref="J1" authorId="0" shapeId="0" xr:uid="{00000000-0006-0000-0000-000002000000}">
      <text>
        <r>
          <rPr>
            <sz val="10"/>
            <rFont val="Arial"/>
            <family val="2"/>
          </rPr>
          <t>Klasifikasi 5 kelas dihitung dari SKOR TOTAL (AHP) (%) menggunakan ambang batas Jenks Natural Breaks - lihat sheet Breakpoints_Klasifikasi.</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<sst xmlns="http://schemas.openxmlformats.org/spreadsheetml/2006/main" count="1686" uniqueCount="331">
  <si>
    <t>Peringkat</t>
  </si>
  <si>
    <t>Nama Halte</t>
  </si>
  <si>
    <t>Observer</t>
  </si>
  <si>
    <t>Skor Aksesibilitas (0-100)</t>
  </si>
  <si>
    <t>Skor Kondisi (0-100)</t>
  </si>
  <si>
    <t>Skor Lingkungan (0-100)</t>
  </si>
  <si>
    <t>SKOR TOTAL (AHP) (%)</t>
  </si>
  <si>
    <t>Longitude</t>
  </si>
  <si>
    <t>Latitude</t>
  </si>
  <si>
    <t>Nama Halte (trim)</t>
  </si>
  <si>
    <t>Halte Malioboro 2 di Depan BPD DIY dan Government Tourist Information Centre</t>
  </si>
  <si>
    <t>Reginald Maghfirot GZ</t>
  </si>
  <si>
    <t>Halte Hayam Wuruk Barat di Depan Taman Kanak Kanak Negeri 5 dan Dinas Pendidikan Kota Yogyakarta, serta di Sebrang Indomaret Lempuyangan</t>
  </si>
  <si>
    <t>Halte Jend. Sudirman (Santika)</t>
  </si>
  <si>
    <t>Mohammad Radyt Fahrasya</t>
  </si>
  <si>
    <t>Halte TJ Mangkubumi 1</t>
  </si>
  <si>
    <t>Halte TJ Diponegoro</t>
  </si>
  <si>
    <t>Halte Senopati 2 di Depan Taman Pintar Yogyakarta</t>
  </si>
  <si>
    <t>Halte Sudirman Bumiputera</t>
  </si>
  <si>
    <t>Halte Senopati 2 di Jalan Panembahan Senopati dekat Taman Pintar</t>
  </si>
  <si>
    <t>Halte Senopati 1 di Jalan Panembahan Senopati dekat Parkiran Bus</t>
  </si>
  <si>
    <t>TPB Wolter Monginsidi</t>
  </si>
  <si>
    <t>Halte Malioboro 1 di Jalan Masuk Malioboro dan di Sebrang Jogja Library Center</t>
  </si>
  <si>
    <t>Halte SMP N 14</t>
  </si>
  <si>
    <t>Halte KHA Dahlan Selatan di Depan Balai Kota Lama dan Masjid Attahkim Kodya Jogjakarta</t>
  </si>
  <si>
    <t>Halte Sugiono 2 di Depan Masjid Baiturohim</t>
  </si>
  <si>
    <t>Halte KHA Dahlan Utara di sebrang Balai Kota Lama dan Masjid Attahkim Kodya Yogyakarta</t>
  </si>
  <si>
    <t>TPB Lempuyangan 2 di Depan Taman Rukun Warga 08 Tegal Kemuning</t>
  </si>
  <si>
    <t>Halte RSI Hidayatullah di Depan RSI Hidayatullah</t>
  </si>
  <si>
    <t>Halte Cokroaminoto SMA 1 /RS AMC Muhammadiyah di Depan RS AMC Muhammadiyah dan di seberang SMA 1 Teladan Yogyakartw</t>
  </si>
  <si>
    <t>Halte Museum Biologi di Jalan Sultan Agung Depan Soto Mie Pak Kadir</t>
  </si>
  <si>
    <t>Halte Portabel Trans Jogja</t>
  </si>
  <si>
    <t>Halte Kusumanegara 4 di Depan Kantor Kementrian Agraria dan Tata Ruang / Badan Pertahanan Nasional Jogja</t>
  </si>
  <si>
    <t>Halte Portable UTY di Depan Kebab Nime didekat Pegadaian</t>
  </si>
  <si>
    <t>Halte Ngabean di Dalam Area Parkir Ngabean</t>
  </si>
  <si>
    <t>Halte Pakualaman di Jalan Sultan Agung Dekat Toko Jogja Kampus</t>
  </si>
  <si>
    <t>Halte Ngabean (Dana Keistemewaan) di Jalan Kolonel Sugiyono di Samping Gang Kampung Pujokusuman</t>
  </si>
  <si>
    <t>Halte Sosrowijayan di Jl. Gandekan</t>
  </si>
  <si>
    <t>Halte TJ Mangkubumi 2</t>
  </si>
  <si>
    <t>Halte Ngeksigondo (Basen) di Depan Kantor Balai Pengembangan Kompetensi dan Wisma</t>
  </si>
  <si>
    <t>HALTE TJ CIK DI TIRO 2</t>
  </si>
  <si>
    <t>Rayhan Ardian</t>
  </si>
  <si>
    <t>Halte Kolonel Sugiono atau Museum Perjuangan di Samping Masjid Baiturrahim</t>
  </si>
  <si>
    <t>Halte Tegal Gendu 2</t>
  </si>
  <si>
    <t>Halte Jokteng Kulon di Depan Medi Farma</t>
  </si>
  <si>
    <t>Halte Portable Wirogunan di Depan KANWIL DITJENPAS DIY</t>
  </si>
  <si>
    <t>Halte Portable Taman Siswa didepan Masjid Al Jihad</t>
  </si>
  <si>
    <t>Halte Terminal Ngabean di Depan Area Parkir Ngabean</t>
  </si>
  <si>
    <t>Halte Gedong Kuning di Depan Kehutanan, Balai Daerah Aliran Sungai Serayu Opak Progo</t>
  </si>
  <si>
    <t>Halte Susteran Jetis (A.M. Sangaji Timur)</t>
  </si>
  <si>
    <t>HALTE TJ SMPN 5 YOGYAKARTA</t>
  </si>
  <si>
    <t xml:space="preserve">TPB Sorogenen (Wirosaban) di Depan Ruko </t>
  </si>
  <si>
    <t>HALTE SUDIRMAN BETHESDA</t>
  </si>
  <si>
    <t>TPB Lapangan Karang Kota Gede di Depan Taman Karang dan Lapangan Karang</t>
  </si>
  <si>
    <t>Halte SMPN11 di samping SMP N 11 Yogyakarta</t>
  </si>
  <si>
    <t>HALTE SMPN 1 YOGYAKARTA</t>
  </si>
  <si>
    <t>TPB Tarumartani Selatan di Depan PT Taru Martani dan di Sebrang Balai KPH Yogyakarta</t>
  </si>
  <si>
    <t>Halte Taman Siswa di Dekat Lintau Fotocopy dan Print</t>
  </si>
  <si>
    <t>TPB Pasar Giwangan 1 di Depan SMP &amp; SMK Berbudi</t>
  </si>
  <si>
    <t>Halte Jokten Kulon - SMAN 7 di depan ADHI SURYA MOTOR</t>
  </si>
  <si>
    <t>Halte Kusumanegara 2 di Jalan Kusumanegara dekat Makam Pahlawan</t>
  </si>
  <si>
    <t>TPB Gudang SGM 2</t>
  </si>
  <si>
    <t>Halte PA Muhammadiyah di Depan Panti Asuhan Yatim Putra</t>
  </si>
  <si>
    <t>TPB S3 PSKY Umbulharjo</t>
  </si>
  <si>
    <t>HALTE TAKSI URIP SUMOHARJO</t>
  </si>
  <si>
    <t>Halte Sorogenen (Nitikan) di Area Pertokoan</t>
  </si>
  <si>
    <t>Halte SMKN 5 di Depan SMKN5 Yogyakarta</t>
  </si>
  <si>
    <t>TPB Rowanu di Dekat Homestay Puri Kafilia</t>
  </si>
  <si>
    <t>Halte Kenari 1 di Depan Fakultas Psikologi UNY dan di Sebelah Selatan Stadiun Mandala Krida</t>
  </si>
  <si>
    <t>Halte Trans BonBin di Jalan Kusumanegara</t>
  </si>
  <si>
    <t>TPB Gudang SGM 1</t>
  </si>
  <si>
    <t>Halte APMD Timur di Depan STPMD APMD Yogyakarta</t>
  </si>
  <si>
    <t>Halte Ngeksigondo (Diklat PU) di Depan Kantor Balai Pengembangan Kompetensi</t>
  </si>
  <si>
    <t>Halte Tegal Gendu 1</t>
  </si>
  <si>
    <t>Halte Widya Wiwaha 2 di Depan STIE Widya Wiwaha</t>
  </si>
  <si>
    <t>TPB Pasar Giwangan 2</t>
  </si>
  <si>
    <t>Halte Widya Wiwaha 1 di Depan STIE Widya Wiwaha</t>
  </si>
  <si>
    <t>AHP - Penentuan Bobot Prioritas Skoring Halte</t>
  </si>
  <si>
    <t>Skala Saaty: 1=sama penting, 3=sedikit lebih penting, 5=lebih penting, 7=jauh lebih penting, 9=mutlak lebih penting</t>
  </si>
  <si>
    <t>1. Matriks Perbandingan Berpasangan</t>
  </si>
  <si>
    <t>Aksesibilitas</t>
  </si>
  <si>
    <t>Kondisi</t>
  </si>
  <si>
    <t>Lingkungan</t>
  </si>
  <si>
    <t>Total</t>
  </si>
  <si>
    <t>Catatan: hanya sel kuning yang diisi manual (hasil wawancara/pertimbangan pengambil keputusan). Sel lain otomatis (kebalikan).</t>
  </si>
  <si>
    <t>2. Normalisasi Matriks, Bobot Prioritas &amp; Eigen Value</t>
  </si>
  <si>
    <t>Kriteria</t>
  </si>
  <si>
    <t>Jumlah</t>
  </si>
  <si>
    <t>Prioritas (Bobot)</t>
  </si>
  <si>
    <t>Eigen Value</t>
  </si>
  <si>
    <t>3. Uji Konsistensi (Consistency Ratio)</t>
  </si>
  <si>
    <t>Lambda Max (Total Eigen Value)</t>
  </si>
  <si>
    <t>n (jumlah kriteria)</t>
  </si>
  <si>
    <t>CI (Consistency Index = (Lambda Max - n) / (n - 1))</t>
  </si>
  <si>
    <t>RI (Random Index, tabel Saaty untuk n=3)</t>
  </si>
  <si>
    <t>CR (Consistency Ratio = CI / RI)</t>
  </si>
  <si>
    <t>Status Konsistensi (CR &lt;= 0.1 dianggap konsisten)</t>
  </si>
  <si>
    <t>4. Bobot Final Dipakai di Skor Total</t>
  </si>
  <si>
    <t>Bobot Aksesibilitas</t>
  </si>
  <si>
    <t>Bobot Kondisi</t>
  </si>
  <si>
    <t>Bobot Lingkungan</t>
  </si>
  <si>
    <t>Kesehatan</t>
  </si>
  <si>
    <t>Kuliner</t>
  </si>
  <si>
    <t>Pariwisata</t>
  </si>
  <si>
    <t>Pendidikan</t>
  </si>
  <si>
    <t>Perdagangan</t>
  </si>
  <si>
    <t>Peribadatan</t>
  </si>
  <si>
    <t>Perkantoran</t>
  </si>
  <si>
    <t>Transportasi</t>
  </si>
  <si>
    <t>Total POI dlm radius 500m</t>
  </si>
  <si>
    <t>Jumlah Kategori POI Ada</t>
  </si>
  <si>
    <t>Jml Fasilitas Ditemukan</t>
  </si>
  <si>
    <t>Jml Indikator Kerusakan</t>
  </si>
  <si>
    <t>Ada: atap shelter</t>
  </si>
  <si>
    <t>Ada: tempat duduk</t>
  </si>
  <si>
    <t>Ada: papan informasi rute</t>
  </si>
  <si>
    <t>Ada: jalur landai difabel</t>
  </si>
  <si>
    <t>Ada: penerangan</t>
  </si>
  <si>
    <t>Ada: dinding kaca pembatas</t>
  </si>
  <si>
    <t>Ada: kipas angin</t>
  </si>
  <si>
    <t>Ada: papan nama jelas</t>
  </si>
  <si>
    <t>Terdeteksi: rusak robek</t>
  </si>
  <si>
    <t>Terdeteksi: coret vandalisme</t>
  </si>
  <si>
    <t>Terdeteksi: karat mengelupas</t>
  </si>
  <si>
    <t>Terdeteksi: kotor debu sampah</t>
  </si>
  <si>
    <t>Terdeteksi: akses terhalang</t>
  </si>
  <si>
    <t>Ya</t>
  </si>
  <si>
    <t>Tidak</t>
  </si>
  <si>
    <t>Sub-skor Kebersihan (0-100)</t>
  </si>
  <si>
    <t>Ada Vegetasi Disebut</t>
  </si>
  <si>
    <t>Sebutan Positif (bersih/rapi/terawat)</t>
  </si>
  <si>
    <t>Sebutan Negatif (kotor/sampah/kumuh)</t>
  </si>
  <si>
    <t>Deskripsi Observasi Asli</t>
  </si>
  <si>
    <t>Siang ini, saya dan rekan sekelompok melakukan observasi di Halte TJ SMPN 5 Yogyakarta sekitar pukul 12.32 WIB. Halte ini berada tepat di depan SMPN 5 Yogyakarta dan pada saat pengamatan kondisinya terlihat cukup ramai dengan banyak penumpang yang sedang menunggu. Terdapat pula bus Trans Jogja yang sedang berhenti untuk menjemput penumpang, sehingga aktivitas naik penumpang terlihat cukup aktif pada waktu tersebut. Lokasinya yang berada di depan sekolah membuat halte ini cukup strategis untuk mendukung mobilitas pelajar maupun masyarakat di sekitarnya. #BANGJO</t>
  </si>
  <si>
    <t>Sore ini, saya dan rekan saya melakukan observasi di Halte SMPN 1 Yogyakarta sekitar pukul 18.12 WIB. Halte ini berada tepat di depan SMPN 1 Yogyakarta dan pada saat pengamatan tidak terlihat adanya penumpang yang sedang menunggu Trans Jogja. Dari kondisi yang terlihat, area halte relatif sepi pada waktu tersebut dan pencahayaan di sekitarnya mulai bergantung pada lampu jalan karena hari sudah mulai gelap. Secara umum halte masih dapat digunakan sebagai titik pemberhentian, namun kondisi visual di sekitar halte tampak cukup sederhana sehingga aspek penerangan, kebersihan, dan kejelasan informasi halte perlu tetap diperhatikan agar nyaman digunakan terutama pada malam hari. #BANGJO</t>
  </si>
  <si>
    <t>Sore ini, saya dan rekan melakukan observasi di Halte Cik Di Tiro 2 sekitar pukul 18.04 WIB. Halte ini berada di sebelah BRI Cik Di Tiro dan terletak di kawasan dengan aktivitas lalu lintas yang cukup aktif. Pada saat pengamatan, kondisi halte terlihat tidak terlalu ramai dan hanya terdapat sedikit aktivitas penumpang. Terdapat satu petugas yang berjaga di halte untuk membantu pelayanan serta menjaga ketertiban. Secara umum, halte masih berfungsi dengan baik sebagai titik naik dan turun penumpang Trans Jogja pada kawasan Cik Di Tiro. Yang perlu menjadi catatan adalah masih ada coret² vandalisme di bagian bawah Halte. #BANGJO</t>
  </si>
  <si>
    <t>Sore ini, saya dan rekan saya melakukan observasi di Halte Sudirman Bethesda sekitar pukul 17.55 WIB. Halte ini terletak tepat di depan RS Bethesda, sehingga lokasinya cukup strategis dan ramai oleh aktivitas masyarakat. Saat observasi berlangsung, terdapat dua petugas yang berjaga di halte serta sebuah bus Trans Jogja yang sedang berhenti untuk menurunkan penumpang. Kondisi halte terlihat cukup aktif dengan sejumlah penumpang yang datang dan turun dari bus. Keberadaan petugas juga membantu mendukung pelayanan dan ketertiban pengguna halte, terutama pada jam sibuk sore hari. #BANGJO</t>
  </si>
  <si>
    <t>Sore ini, saya dan rekan sekelompok melakukan observasi di Halte Taksi yang berada di kawasan Urip Sumoharjo sekitar pukul 17.46 WIB. Halte masih menyediakan fasilitas dasar berupa tempat berteduh dan area duduk, namun kondisinya terlihat kurang terawat karena terdapat cukup banyak coretan pada beberapa bagian serta poster yang ditempel kurang tertata dan tidak seluruhnya berkaitan dengan informasi transportasi. Beberapa bagian halte juga tampak kusam sehingga mengurangi kenyamanan dan kerapian fasilitas. Saat observasi dilakukan, tidak terlihat penumpang yang sedang menunggu meskipun kondisi lalu lintas di sekitar kawasan cukup ramai.#BANGJO</t>
  </si>
  <si>
    <t>Pagi ini, saya tiba di Halte Mangkubumi 2 sekitar pukul 09.26 WIB. Saat observasi dilakukan, kondisi halte dalam keadaan kosong dan tidak terlihat penumpang maupun petugas di dalamnya. Halte berupa bangunan tertutup yang dilengkapi tempat duduk, lampu, papan informasi peta jaringan dan rute Trans Jogja, serta akses berupa tangga dan jalur landai dengan pegangan tangan. Kondisi bangunan secara umum masih dapat digunakan, tetapi terdapat beberapa bagian yang terlihat kurang terawat. Cat pada pegangan jalur landai banyak yang mengelupas dan mulai berkarat, sementara bagian plafon tampak kotor dan terdapat bekas noda. Kondisi lantai di dalam halte juga terlihat berdebu, terdapat beberapa sampah kecil, serta sebagian pelat lantai tampak tidak terpasang dengan rapi. Di sekitar halte terdapat trotoar yang cukup luas, meskipun terlihat becak yang diparkir berdekatan dengan jalur masuk halte. Secara keseluruhan, Halte Mangkubumi 2 masih memiliki fasilitas dasar yang memadai sebagai tempat pemberhentian bus, namun kebersihan dan pemeliharaan beberapa bagian bangunan perlu ditingkatkan agar halte lebih bersih, aman, dan nyaman bagi penumpang. #BANGJO</t>
  </si>
  <si>
    <t>Pagi ini, saya tiba di Halte Mangkubumi 1 sekitar pukul 09.21 WIB. Pada saat observasi, terdapat lima penumpang yang sedang menunggu bus dan satu petugas yang berjaga di dalam halte. Halte memiliki bangunan tertutup dengan tempat duduk, kipas angin, lampu, serta papan informasi yang memuat peta jaringan dan rute Trans Jogja. Akses masuk tersedia melalui tangga dan jalur landai dengan pegangan tangan di kedua sisinya sehingga memudahkan pengguna untuk menuju ruang tunggu. Kondisi bagian dalam masih cukup baik dan dapat digunakan untuk menunggu bus dengan nyaman. Namun, pada beberapa bagian luar bangunan terlihat coretan pada dinding dan penutup bagian atas, sementara papan penanda di dekat halte juga dipenuhi stiker dan coretan sehingga tampilannya kurang terawat. Di sisi halte, terdapat becak dan barang-barang yang memenuhi sebagian area trotoar sehingga ruang bagi pejalan kaki menjadi lebih sempit. Secara keseluruhan, Halte Mangkubumi 1 masih berfungsi dengan baik sebagai fasilitas pemberhentian dan tempat menunggu penumpang, tetapi kebersihan serta kondisi bagian luar halte perlu mendapat perhatian agar lingkungan halte terlihat lebih rapi dan nyaman digunakan. #BANGJO</t>
  </si>
  <si>
    <t>Pagi ini, saya tiba di Halte SMP N 14 Yogyakarta sekitar pukul 09.09 WIB. Saat observasi dilakukan, terdapat empat penumpang yang sedang menunggu bus dan satu petugas yang berjaga di dalam halte. Halte ini berupa bangunan tertutup yang dilengkapi tempat duduk, kipas angin, lampu, serta papan informasi berupa peta jaringan dan rute Trans Jogja. Akses menuju halte tersedia melalui tangga dan jalur landai yang dilengkapi pegangan tangan. Secara umum, bagian dalam halte masih cukup layak digunakan, meskipun beberapa bagian bangunan terlihat mulai menua dan memerlukan perawatan. Pada bagian luar, papan nama halte tampak rusak dan robek sehingga tulisan tidak lagi terlihat dengan baik, serta terdapat coretan pada dinding bagian bawah. Beberapa sepeda motor juga terlihat diparkir di dekat jalur masuk halte sehingga dapat mengurangi ruang akses bagi pengguna. Di sisi belakang bangunan terdapat area tanah dengan pohon besar serta terlihat sejumlah sampah yang membuat lingkungan sekitar tampak kurang terawat. Secara keseluruhan, Halte SMP N 14 masih dapat digunakan dengan cukup baik untuk menunjang aktivitas naik turun dan menunggu penumpang, tetapi diperlukan perbaikan pada papan nama, beberapa bagian bangunan, serta kebersihan area di sekitarnya agar kondisi halte menjadi lebih nyaman. #BANGJO</t>
  </si>
  <si>
    <t>Pagi ini, saya tiba di Halte TJ Diponegoro sekitar pukul 08.58 WIB. Saat observasi dilakukan, kondisi halte terlihat kosong dan tidak terdapat penumpang yang sedang menunggu bus maupun petugas yang berjaga. Halte ini berupa bangunan tertutup dengan struktur besi, dinding kaca, atap, tempat duduk, serta jalur landai yang dilengkapi pegangan tangan. Di dalam halte tersedia papan informasi mengenai layanan dan halte alternatif yang dapat digunakan oleh penumpang. Kondisi bangunan secara umum masih dapat digunakan, tetapi terlihat cukup tua dan kurang terawat. Beberapa bagian rangka dan pegangan tangan tampak kusam serta catnya mulai mengelupas, sementara pada bagian atas halte terlihat sejumlah barang yang diletakkan di atas struktur. Di bagian samping halte terdapat pohon besar dan tiang utilitas yang posisinya sangat dekat dengan bangunan sehingga membuat area tersebut terlihat cukup sempit. Beberapa informasi dan stiker yang terpasang pada kaca juga terlihat sudah usang dan sebagian rusak. Secara umum, Halte TJ Diponegoro masih layak digunakan dan memiliki fasilitas dasar yang memadai, namun diperlukan perawatan pada struktur, papan informasi, serta penataan area halte agar terlihat lebih bersih, rapi, dan nyaman bagi pengguna. #BANGJO</t>
  </si>
  <si>
    <t>Pagi ini, saya tiba di Halte Sudirman Bumiputera sekitar pukul 08.51 WIB. Saat observasi dilakukan, tidak terlihat penumpang yang sedang menunggu bus dan hanya terdapat satu petugas di dalam halte yang sedang beristirahat. Halte ini berupa bangunan tertutup dengan dinding kaca, atap, tempat duduk, kipas angin, serta jalur landai yang dilengkapi pegangan tangan. Di dalam halte tersedia papan informasi yang memuat peta jaringan, daftar jalur, tarif, dan jam operasional Trans Jogja sehingga informasi perjalanan cukup mudah diakses oleh pengguna. Kondisi bagian dalam terlihat cukup bersih dan fasilitas utama masih dapat digunakan dengan baik. Namun, pada bagian luar terdapat sepeda motor yang diparkir tepat di samping bangunan sehingga mempersempit ruang pada trotoar. Beberapa ornamen pada kaca juga mulai terlihat kusam dan mengelupas. Di sekitar halte terdapat papan informasi kawasan Jalan Jenderal Sudirman, tetapi kondisinya dipenuhi coretan sehingga informasi yang ditampilkan menjadi kurang jelas. Secara umum, Halte Sudirman Bumiputera masih layak digunakan dan memiliki fasilitas yang cukup lengkap, namun penataan area sekitar serta perawatan elemen visual perlu diperhatikan agar lingkungan halte terlihat lebih rapi dan nyaman. #BANGJO</t>
  </si>
  <si>
    <t>Pagi ini, saya tiba di Halte Jend. Sudirman (Santika) sekitar pukul 08.43 WIB. Saat observasi berlangsung, terdapat tiga penumpang yang sedang duduk menunggu bus di dalam halte. Kondisi halte secara umum cukup baik dengan bangunan tertutup yang dilengkapi atap, dinding kaca, tempat duduk, kipas angin, serta jalur landai dengan pegangan tangan untuk memudahkan akses pengguna. Di dalam halte juga tersedia papan informasi yang memuat peta jaringan, daftar jalur Trans Jogja, jam operasional, dan informasi tarif sehingga cukup membantu penumpang dalam menentukan perjalanan. Meskipun fasilitas utama masih berfungsi, beberapa bagian halte menunjukkan tanda kurang terawat, terutama ornamen pada kaca yang terlihat kusam, mengelupas, dan berubah warna. Pada bagian luar juga terdapat beberapa papan dan gerobak usaha yang diletakkan cukup dekat dengan bangunan halte sehingga sedikit mengurangi kerapian area sekitarnya. Secara keseluruhan, Halte Jend. Sudirman masih dalam kondisi layak dan memiliki fasilitas yang cukup lengkap untuk menunjang kenyamanan penumpang, meskipun perawatan pada beberapa bagian bangunan perlu ditingkatkan. #BANGJO</t>
  </si>
  <si>
    <t>Pagi ini, saya tiba di Halte Portabel Trans Jogja sekitar pukul 08.27 WIB. Saat observasi dilakukan, tidak terdapat penumpang yang sedang menunggu bus di lokasi. Berbeda dengan halte permanen, titik pemberhentian ini hanya ditandai dengan papan bertuliskan “STOP” dan simbol bus yang dipasang pada sebuah tiang di tepi trotoar, tanpa dilengkapi bangunan shelter, atap, maupun tempat duduk. Area pemberhentian berada tepat di depan SMK Negeri 3 Yogyakarta dengan kondisi jalan yang cukup baik dan terdapat trotoar yang dapat digunakan oleh pejalan kaki. Namun, kondisi trotoar di sekitar titik halte terlihat kurang rata pada beberapa bagian dan terdapat pepohonan yang mempersempit ruang berjalan. Di sisi dalam trotoar juga terdapat saluran air terbuka yang cukup lebar sehingga pengguna perlu lebih berhati-hati ketika berjalan maupun menunggu bus. Secara umum, penanda halte masih terlihat jelas dan dapat berfungsi sebagai titik naik turun penumpang, tetapi fasilitas pendukung untuk kenyamanan dan keamanan pengguna masih cukup terbatas. #BANGJO</t>
  </si>
  <si>
    <t>Pagi ini, saya tiba di TPB Wolter Monginsidi sekitar pukul 08.33 WIB. Pada saat observasi, kondisi halte terlihat kosong dan tidak terdapat penumpang yang sedang menunggu bus. TPB ini berupa shelter permanen dengan area tunggu yang cukup luas, dilengkapi atap, jalur landai, serta pagar pembatas berbahan logam di bagian depan. Secara fungsi, struktur utama halte masih dapat digunakan, namun kondisi fisiknya terlihat kurang terawat. Hampir seluruh bagian dinding berwarna kuning dipenuhi coretan dan grafiti, termasuk pada bagian bawah bangunan, sehingga mengurangi kebersihan dan kerapian visual halte. Beberapa kabel dan instalasi pada bagian dinding juga terlihat cukup terbuka. Di sisi belakang halte terdapat saluran air terbuka yang posisinya berdekatan dengan bangunan. Akses menuju halte terhubung langsung dengan trotoar, meskipun terdapat pepohonan dan beberapa bagian permukaan trotoar yang dapat membatasi ruang gerak pejalan kaki. Secara keseluruhan, fasilitas utama TPB masih dapat dimanfaatkan sebagai tempat naik dan turun penumpang, tetapi kebersihan serta perawatan bangunan perlu ditingkatkan agar halte terasa lebih nyaman dan tertata bagi pengguna. #BANGJO</t>
  </si>
  <si>
    <t>Pagi ini, saya tiba di Halte A.M. Sangaji Timur sekitar pukul 08.14 WIB. Saat dilakukan observasi, kondisi halte cukup sepi dengan hanya terdapat satu penumpang yang sedang menunggu bus. Halte memiliki bangunan tertutup dengan atap, tempat duduk, serta area naik dan turun yang dilengkapi tangga dan jalur landai dengan pegangan tangan di kedua sisinya. Kondisi bangunan secara umum masih dapat digunakan, meskipun terlihat beberapa bagian fasilitas yang mulai mengalami penurunan kondisi, seperti cat pada pegangan yang mengelupas, bagian penutup dinding yang kurang rapi, serta papan nama halte yang sudah rusak sehingga tulisan tidak terlihat secara utuh. Pada bagian dalam, beberapa kaca ditutup menggunakan material bermotif yang membuat tampilan halte terlihat kurang terawat. Area di sekitar halte cukup bersih dan terdapat trotoar serta saluran drainase di sisi jalan. Secara keseluruhan, Halte A.M. Sangaji Timur masih berfungsi dengan cukup baik sebagai tempat menunggu dan naik turun penumpang, namun beberapa bagian bangunan dan fasilitasnya memerlukan perawatan agar lebih nyaman dan layak digunakan. #BANGJO</t>
  </si>
  <si>
    <t>Siang ini, saya tiba di TPB S3 PSKY Umbulharjo sekitar pukul 11.04 WIB. Saat observasi, kondisi TPB terlihat sepi dan tidak terdapat penumpang yang sedang menunggu bus. Fasilitas TPB berupa shelter dengan lantai yang ditinggikan, dilengkapi tangga dan pegangan tangan serta papan informasi rute Trans Jogja. Akses menuju shelter telah dilengkapi jalur pemandu bagi pejalan kaki, tetapi kondisi trotoar di sekitar shelter terlihat kurang baik dengan permukaan yang tidak rata, beberapa bagian rusak, serta terdapat material batu dan bagian jalan yang berlubang di sekitar akses. Pada area sekitar shelter juga terlihat coretan pada dinding dan terdapat beberapa kendaraan yang berada di sisi jalan. Secara umum, fasilitas utama shelter masih dapat digunakan, tetapi kondisi akses di sekitarnya perlu diperhatikan agar lebih nyaman dan aman bagi pengguna. #BANGJO</t>
  </si>
  <si>
    <t>Pagi ini, saya tiba di Halte RSI Hidayatullah yang berada di depan RSI Hidayatullah sekitar pukul 10.49 WIB. Saat observasi, terdapat beberapa keluarga yang sedang menunggu bus di dalam shelter serta satu orang penjaga yang berada di lokasi. Shelter berupa ruang tunggu tertutup dengan fasilitas tempat duduk, tangga, ramp kursi roda, poster informasi rute, serta pegangan tangan berwarna kuning. Kondisi fasilitas shelter masih cukup baik dan dapat digunakan, meskipun pada beberapa bagian terlihat cat dan pegangan mulai mengalami keausan. Akses menuju shelter berada di trotoar dengan ruang pejalan kaki yang relatif terbatas, tetapi terdapat pohon besar di sekitar shelter yang memberikan keteduhan bagi pejalan kaki. Kondisi jalan di depan shelter terlihat cukup aktif dilalui kendaraan. #BANGJO</t>
  </si>
  <si>
    <t>Pada pukul 10.29 pagi ini, saya sampai di Halte Ngeksigondo (Basen) yang berada di depan Kantor Balai Pengembangan Kompetensi dan Wisma. Halte ini merupakan shelter yang terhubung langsung dengan trotoar. Kondisi trotoar terlihat cukup teduh karena terdapat vegetasi serta beberapa tanaman dalam pot. Secara umum, kondisi halte terlihat cukup baik dan dilengkapi dengan berbagai fasilitas, seperti bangku tunggu, peneduh, poster informasi, ramp untuk pengguna kursi roda, serta pagar pembatas. Kondisi halte juga cukup bersih, meskipun pada bagian dinding masih terdapat beberapa coretan dan sedikit kotoran yang perlu dibersihkan. #BANGJO</t>
  </si>
  <si>
    <t>Pagi ini, minggu 23 Agustus 2026 sekitar pukul 10.23, saya tiba di Halte Sosrowijayan. Halte terletak di trotoar yang sangat kecil dengan aksesibilitasnya yang sangat minim karena jalan yang digunakan sebagai parkir mobil sehingga akses bus pun terhalang karena jalanan semakin sempit. Halte terhitung kecil dengan hanya berupa platform kecil dengan hanya 1 tempat duduk besi dan atap kecil tanpa ada pencahayaan lampu yang memadai. Lingkungan sekitar halte sendiri cukup kotor dengan adanya tumpukan sampah di sekitarnya. #BANGJO</t>
  </si>
  <si>
    <t>Pukul 10.22 pagi ini saya sampai di Halte Ngeksigondo (Diklat PU) yang berada di depan Kantor Balai Pengembangan Kompetensi. Kondisi halte terlihat cukup memprihatinkan dan kurang terawat. Struktur halte masih tersedia dengan peneduh dan tempat duduk, tetapi bagian dalam halte tampak kotor, berdebu, serta terdapat banyak coretan pada dinding dan bagian peneduh. Beberapa bagian konstruksi juga terlihat sudah kusam dan mengalami penurunan kondisi. Selain itu, area trotoar di sekitar halte terlihat tidak rata dan beberapa bagian paving mengalami kerusakan, sehingga dapat mengurangi kenyamanan pejalan kaki maupun akses menuju halte. Tetapi halte dihubungkan dengan zebra cross sehingga aksesibilitas berpotensi untuk ditingkatkan. #BANGJO</t>
  </si>
  <si>
    <t>Pagi hari, minggu 23 agustus 2026 sekitsr pukul 10.10, saya tiba di Halte Malioboro 2. Lokasi dari halte sangatlah strategis dikarenakan terdapat di tengah Malioboro yang merupakan salah satu titik wisata di Kota Yogyakarta. Ketika saya observasi, kondisi halte cukup ramai dengan terdapat sekitar 4 orang yang mengantre. Fasilitas dari Halte inibpun terbilang baik, dengan bentuk shelter dan terdapat banyak kursi serta 2 kipas angin di dalamnya dan lampu jalan Malioboro yang membantu penerangan di sekitar Halte. Peta informasi rute dan kebersihan juga terjaga dengan baik. Selain itu, aksesibilitas dari halte juga baik dengan tangga dan ramp yang tidak terlalu curam dan cukup lebar, serta trotoar luas yang ramah disabilitas. #BANGJO</t>
  </si>
  <si>
    <t>Pagi ini pukul 10.00 saya berada di Halte Tegal Gendu 2. Saat tiba, tidak terdapat penumpang maupun petugas yang berjaga. Halte merupakan tipe shelter yang terhubung langsung dengan trotoar, meskipun aksesnya sedikit terganggu oleh beberapa benda seperti bendera dan papan toko. Fasilitas yang tersedia meliputi satu kursi panjang, penerangan, peneduh, pagar pembatas, informasi rute, serta ramp kursi roda. Namun, kondisi halte terlihat kurang terawat karena terdapat banyak debu di area depan dan dalam halte, serta coretan pada beberapa bagian. #BANGJO</t>
  </si>
  <si>
    <t>Pagi ini, minggu 23 Agustus 2026 sekitar pukul 10.00 WIB, saya mengamati Halte Malioboro 1. Lokasi dari Halte sangatlah strategis karena berada di dekat pintu masuk Malioboro yang umumnya sangat ramai wisatawan. Fasilitas sangat oke mulai dari atap shelter yang luas, kursi cukup banyak, dan peta rute yang terjaga dengan baik. Aksesibilitas sangat baik dengan tangga dan ramp yang lebar dan juga trotoar yanf snagat luas yang juga ramah disabilitas. Penerangan di jalanan sekitar juga oke karena terdapat penerangan lain dari jalanan Malioboro. #BANGJO</t>
  </si>
  <si>
    <t>Pagi ini pukul 09.50 saya berada di TPB Gudang SGM 1. Halte berada langsung di jalur trotoar yang cukup baik dan terhubung dengan akses pejalan kaki. Fasilitas yang tersedia meliputi tanda bus stop, kursi, peneduh, pagar pembatas, serta informasi rute. Namun, kondisi halte terlihat kurang terawat karena terdapat banyak kotoran dan coretan di beberapa bagian. #BANGJO</t>
  </si>
  <si>
    <t>Pagi ini pukul 09.43 saya berada di TPB Gudang SGM 2 yang berada di depan deretan ruko. Saat tiba, tidak terdapat penumpang yang menunggu bus. TPB dilengkapi dengan peneduh, tempat duduk, ramp akses, serta papan informasi rute. Namun, kondisi halte terlihat cukup kurang terawat dan saat digunakan, bagian lantai/struktur halte terasa sedikit goyang ketika diinjak. Akses menuju TPB berada di area trotoar yang cukup memadai, tetapi kondisi sekitar halte cukup ramai dengan aktivitas pertokoan. #BANGJO</t>
  </si>
  <si>
    <t>Pagi ini, minggu 23 Agustus 2026 sekitar pukul 09.38, saya tiba di Halte Hayam Wuruk Barat. Ketika saya mengamati halte, saya mendapati informasi bahwa halte berlokasi pada tempat yang memiliki aksesibilitas baik yaitu pada trotoar yang cukup luas, banyak pohon, dan juga ramah disabilitas. Tangga dan ramp tidak terlalu curam dan pegangan besi masih kuat, tetapi papan informasi rute bus tersobek dan tidak terlihat secara menyeluruh. Selain itu, tersapat kursi dan juga lampu halte yang masih beroperasi dengan baik. #BANGJO</t>
  </si>
  <si>
    <t>Pagi ini, minggu 23 Agustus 2026 sekitar pukul 09.30, saya tiba di TPB Lempuyangan 2. Lokasi TPB berdekatan dengan stasiun tapi berada di pinggir jalan dan tidak ada trotoar. TPB hanya berupa tangga saja tanpa ada tempat duduk dan lampu, hanya terdapat papan informasi rute saja. Ketika saya observasi, jalanan di samping TPB digunakan sebagai tempat parkir mobil yang menyebabkan jalanan semakin sempit untuk dilalui bus. #BANGJO</t>
  </si>
  <si>
    <t>Pagi ini, minggu 23 Agustus 2026 sekitar pukul 09.18, saya tiba di TPB Tarumartani Selatan. Halte terlihat kosong meskipun cukup ramai kendaraan lalu lalang. Lokasi dari halte sendiri terletak pada trotoar yang cukup kecil. Secara fasilitas, halte hanya memiliki atap kecil tanpa ada tempat duduk sama sekali, masih ada papan informasi rute yang cukup jelas, tetap pegangan sudah cukip rapuh dan tidak aman digunakan serta lampu yang sudah agak pecah. Halte memilili banyak coretan pilok. #BANGJO</t>
  </si>
  <si>
    <t>Pagi ini sekitar pukul 09.27 WIB, saya berada di TPB Pasar Giwangan 2. TPB berada di tepi jalan dengan trotoar yang cukup memadai dan terhubung langsung dengan area pemberhentian. Fasilitasnya berupa shelter dengan atap peneduh, tempat duduk, pagar pembatas, serta papan informasi rute bus. Namun, papan informasi terlihat mulai usang dan terdapat coretan pada beberapa bagiannya. Di sekitar TPB juga terdapat aktivitas perdagangan dan lalu lintas kendaraan yang cukup ramai, sehingga suasana di sekitar halte cukup padat. #BANGJO</t>
  </si>
  <si>
    <t>Pagi ini sekitar pukul 09.19 WIB, saya berada di TPB Pasar Giwangan 2. TPB berada di pinggir jalan dengan akses trotoar yang kurang memadai bagi pejalan kaki. Saat tiba, tidak terdapat penumpang yang sedang menunggu bus. Fasilitas TPB masih cukup layak untuk aktivitas menunggu, dengan kursi dan peneduh, meskipun kondisinya sedikit kotor. Selain itu, terdapat tanda bus stop sebagai penanda lokasi pemberhentian bus. #BANGJO</t>
  </si>
  <si>
    <t>Pagi ini, minggu 23 Agustus 2026 sekitar pukul 09.03, saya tiba di Halte Kenari 1. Halte cukup sepi dengan hanya ada 1 orang mengantre. Secara lokasi, lokasi dari halte cukuo strategis karena dekat dengan kampus, sekolah, dan stadiun. Padahal lokasi dan aksesibilitas halte sendiri cukup oke, tetapi sayang sekali fasilitas dari halte kurang memadai dengan tidak adanya informasi apapum terkait rute maupun jadwal bus. Selain itu, kondisi halte juga terdapat beberapa coretan pilok. #BANGJO</t>
  </si>
  <si>
    <t>Pagi ini sekitar pukul 09.00 WIB, saya berada di Halte Tegal Gendu 1. Halte berupa shelter yang berada di trotoar dengan akses yang cukup baik bagi pejalan kaki, tetapi sebagian trotoar di sisi kanan halte terhalang oleh warung bubur sehingga pejalan kaki harus melewati badan jalan. Halte dilengkapi ramp kursi roda, kursi tunggu, poster informasi, dan peneduh. Namun, kondisi bagian dalam halte terlihat cukup kumuh karena kotor dan terdapat banyak coretan. #BANGJO</t>
  </si>
  <si>
    <t>Pagi ini, minggu 23 Agustus 2026 sekitar pukul 08.52 WIB, saya tiba di Halte APMD Timur. Halte hanya berupa tempat pemberhentian bus kecil yang hanya memiliki tangga saja tanpa ada penutup namun masih memiliki informasi terkait rute bus. Trotoar sangat kecil dan tiang lampu penerangan miring yang menandakan kurang terawatnya halte ini. Aksesibilitas halte juga kurang memadai dikarenakan terdapat pada jalan yang cukup kecil untuk dilalui oleh bus. Sleain itu, di sekitar halte terdapat banyak sampah yang dibuang sembarangan oleh masyarakat sekitar. #BANGJO</t>
  </si>
  <si>
    <t>Pagi ini, minggu 23 Agustus 2026 sekitar pukil 08.42 WIB, saya tiba di Halte SMKN 5. Lokasi halte berada tepat di depan SMKN 5 Yogyakarta, karena saya observasi hari minggu, halte sangatlah kosong dan jalanannya terhitung cukup sepi yang mungkin dikarenakan kondisi hari libur. Sefara lingkungan, halte cukup bersih dengan papan informasi rute bus yang masih terjaga, namun masih ada coretan pilok. #BANGJO</t>
  </si>
  <si>
    <t>Pagi ini sekitar pukul 08.34 WIB, saya berada di Halte Sorogenen (Nitikan). Halte berada di trotoar yang cukup memadai untuk akses pejalan kaki, meskipun sebagian jalur di sebelah kanan halte terhalang oleh aktivitas penjual. Fasilitas halte cukup baik, dengan tempat duduk dan peneduh yang nyaman, serta dilengkapi petugas dan poster informasi rute yang lengkap sehingga memudahkan penumpang memperoleh informasi. Di sekitar halte juga terdapat beberapa penjual sayur dan aneka jajanan, sementara di seberangnya terdapat toko bangunan yang menjadi bagian dari aktivitas di sekitar halte. #BANGJO</t>
  </si>
  <si>
    <t>Pagi ini sekitar pukul 08.27 WIB, saya berada di TPB Sorogenen (Wirosaban) yang terletak di depan ruko. Saat tiba, terdapat satu penumpang yang sedang menunggu bus. TPB berada di area trotoar yang cukup memadai untuk akses pejalan kaki dan dilengkapi ramp kursi roda, kursi penumpang, serta poster informasi rute bus. Kondisi TPB terlihat bersih dan terawat, dengan peneduh dan atap yang masih dalam kondisi baik sehingga cukup nyaman untuk menunggu bus. #BANGJO</t>
  </si>
  <si>
    <t>Pagi ini, Minggu 23 Agustus 2026 sekitar pukul 08.24 WIB, saya tiba di Halte Senopati 2. Halte berlokasi di sekitar tempat wisata seperti Malioboro, Taman Pintar, dan Benteng Vredeburg sehingga lokasi sangatlah strategis. Aksesibilitas juga mudah dengan didukung oleh plang tanda Bus dan trotoar yang luas. Fasilitas yang dimiliki mulai dari tempat duduk yang cukip banyak dan papan informasi rute bus juga masih terlihat jelas. Lingkungan halte juga terlihat bersih dan terawat dengan baik. #BANGJO</t>
  </si>
  <si>
    <t>Pagi ini, Minggu 23 Agustus 2026 sekitar pukul 08.13 WIB, saya tiba di Halte KHA Dahlan Utara. Secara lokasi, Halte ini cukup strategis karena berada di sekitar tempwt wisata dan jalan raya yang mudah dilalui oleh bus. Halte juga terletak pada trotoar yang cukup lebar dengan sudah ramah disabilitas. Secara fasilitas, halte menyediakan tempat duduk dan lingkungannya cukup bersih dan terawat. Selain itu juga terdapat poster informasi rute bus yang masih terlihat cukup jelas. #BANGJO</t>
  </si>
  <si>
    <t>Pagi ini sekitar pukul 08.13 WIB, saya berada di Halte Widya Wiwaha 1 yang terletak di depan STIE Widya Wiwaha. Akses menuju halte cukup mudah melalui trotoar yang memadai, tetapi sebagian trotoar di dekat halte terhalang tumpukan sampah sehingga menimbulkan sedikit bau. Halte dilengkapi peneduh dan tanda pemberhentian bus (bus stop) yang cukup mendukung aktivitas menunggu bus. Namun, kondisi halte terlihat kumuh dengan banyak coretan, sehingga papan informasi yang tersedia sulit terbaca dengan jelas. #BANGJO</t>
  </si>
  <si>
    <t>Pagi ini sekitar pukul 08.03 WIB, saya berada di Halte Widya Wiwaha 2 yang terletak di seberang STIE Widya Wiwaha. Akses menuju halte melalui trotoar cukup memadai dan mudah dijangkau. Halte dilengkapi peneduh dan penanda bus stop sehingga cukup memungkinkan untuk menunggu bus. Namun, poster informasi yang tersedia sudah usang dan belum diperbaiki, serta terdapat banyak coretan yang membuat kondisi halte terlihat kurang terawat dan kumuh. Saat tiba, tidak terdapat penumpang yang sedang menunggu bus. #BANGJO</t>
  </si>
  <si>
    <t>Pagi ini, Minggu 23 Agustus 2026 sekitar pukul 08.00 WIB, saya tiba di halte KHA Dahlan Selatan. Ketika observasi halte dalam kondisi yang sangat ramai. Lokasi halte cukup strategis karena terdapat di lokasi sekitar tempat wisata di Kota Jogja, dan berlokasi di trotoar yang cukup luas dan trotoarnya sendiri sudah ramah disabilitas. Secara fasilitas, halte ini berupa jalte shelter yang dilengkapi tempat duduk dan terbilang cukup bersih, lingkungan di sekitarnya pun cukup bersih. Terdapat beberapa buku majalah untuk dibaca dan poster rute bus yang masih terlihat jelas. #BANGJO</t>
  </si>
  <si>
    <t>Pagi ini sekitar pukul 07.45 WIB, saya berada di Halte PA Muhammadiyah yang terletak di depan Panti Asuhan Yatim Putra Muhammadiyah Yogyakarta. Saat tiba, terdapat seorang ibu yang sedang menunggu bus. Halte berada di atas trotoar yang cukup memadai bagi pejalan kaki, tetapi tidak memiliki peneduh dan kondisinya terlihat usang serta kurang terawat. Lampu penerangan juga sudah tidak berfungsi dan hampir terlepas. Meskipun demikian, terdapat tanda pemberhentian bus sebagai penanda lokasi halte. #BANGJO</t>
  </si>
  <si>
    <t>Pagi ini, saya tiba di Halte RS AMC Muhammadiyah, di depan RS AMC Muhammadiyah dan di seberang SMA 1 Teladan Yogyakarta pada sekitar pukul 07.45 WIB. Secara geografis, lokasi dari halte sendiri cukuo strategis karena berada sangat dekat dengan sekolah dan juga rumah sakit dan terletak pada trotoar yang cukup sempit tetapi cukup bersih. Dari segi fasilitas, halte cukup luas dengan tempat duduk yang dapat menampung sekitar 6 orang, terdapat kipas angin dan kran air di samping halte. Halte bersih dan poster rute dan peta bus masih terjaga dengan baik. #BANGJO</t>
  </si>
  <si>
    <t>Pagi ini sekitar pukul 07.37 WIB, saya berada di TPB Rowanu di dekat Homestay Puri Kafilia. Saat tiba, belum terdapat penumpang yang menunggu bus. TPB terhubung langsung dengan trotoar yang cukup memadai untuk pejalan kaki dan dilengkapi atap peneduh. Namun, kondisi TPB kurang terawat, ditandai dengan poster informasi yang sudah usang serta banyak coretan pada fasilitas. #BANGJO</t>
  </si>
  <si>
    <t>Pagi ini, saya tiba di Halte SMPN11, di samping SMP Negeri 11 Yogyakarta pada sekitar pukul 07.30 WIB. Akses menuju halte memiliki trotoar yang cukup sempit, dan trotoar pada bagian selatan berisi tumpukan sampah dan juga digunakan sebagai tempat jualan. Saat observasi, kondisi Halte terlihat sepi dan tidak ramai, hanya terdapat 1 orang saja. Dari segi fasilitas, halte memiliki 1 tempat duduk saja dengan kapasitas sekitar 3 orang, papan informasi rute bus yang sudah cukup usang dan tersobek. Lokasi halte dekat di jalan raya dan dekat dengan pertigaan. #BANGJO</t>
  </si>
  <si>
    <t>Pagi ini sekitar pukul 07.15 WIB, saya tiba di Halte Sugiono 2 depan Masjid Baiturohim. Terdapat satu lansia yang sedang menunggu bus. Halte berupa shelter yang berada di trotoar cukup luas, tetapi akses pejalan kaki terganggu karena trotoar sedang dalam perbaikan dan terdapat beberapa warung yang menghalangi jalur. Halte dilengkapi petugas, ramp kursi roda, zebra cross, atap, tempat duduk, penerangan, jalur naik-turun penumpang, kipas angin, serta kondisi yang bersih dan terawat. Namun, belum terdapat papan informasi rute bus. Lokasi halte berada di sekitar aktivitas warga dan pertokoan. #BANGJO</t>
  </si>
  <si>
    <t>Sore ini, saya dan rekan sekelompok tiba di TPB Lapangan Karang Kotagede, depan Taman Karang dan Lapangan Karang, sekitar pukul 18.00 WIB. Akses menuju halte memiliki trotoar yang relatif sempit dan berada di dekat aktivitas masyarakat, sementara jalan di depan TPB juga cukup sempit untuk dilalui bus. Saat observasi, kondisi TPB terlihat sepi dan tidak terdapat penumpang yang menunggu bus. Dari segi fasilitas, kondisinya kurang terawat dengan banyak coretan. Terdapat papan informasi rute bus, tetapi sebagian posternya sudah mengelupas, serta tersedia pencahayaan yang cukup baik untuk mendukung keamanan pengguna pada sore hingga malam hari. #BANGJO</t>
  </si>
  <si>
    <t>Sore ini, saya dan rekan sekelompok berada di Halte Gedong Kuning depan kantor Kehutanan, Balai Daerah Aliran Sungai Serayu Opak Progo, sekitar pukul 17.43 WIB. Halte berupa shelter dengan akses trotoar yang relatif sempit dan sebagian digunakan sebagai area parkir kendaraan, sehingga mengganggu kenyamanan pejalan kaki. Saat observasi, terdapat sekitar enam orang yang menunggu bus dan seorang petugas yang berjaga. Fasilitas halte cukup memadai, berupa dua kursi panjang yang saling berhadapan, papan informasi, serta akses yang ramah bagi penyandang disabilitas. Kondisi shelter juga terlihat cukup terawat dan lebih luas, sehingga mendukung kenyamanan pengguna. #BANGJO</t>
  </si>
  <si>
    <t>Sore ini Sabtu, 22 Agustus 2026 sekitar pukul 16.55 kami tiba di Halte UTY di dekat kampus 2 UTY Halte ini berada di trotoar, dan berupa halte kecil dengan kedua tangga di kanan kiri nya tanpa atap dan berwarna hijau kuning, terdapat rute map dan nama halte. Kekurangannya halte cukup tidak terlihat karena di kanan kiri nya tertutup pohon. Kondisi halte sepi dan tidak terdapat penjaganya. #BANGJO</t>
  </si>
  <si>
    <t>Sore ini Sabtu, 22 Agustus 2026 sekitar pukul 16.44 kami tiba di Halte Portable Wirogunan di Seberang KANWIL DITJENPAS DIY. Halte ini berada di trotoar, dan berupa halte kecil dengan kedua tangga di kanan kiri nya tanpa atap dan berwarna hijau kuning, terdapat rute map dan nama halte namun terdapat coretan vandalisme sehingga menghalangi pembaca untuk melihat rute map nya. Kondisi halte sepi dan tidak terdapat penjaganya. #BANGJO</t>
  </si>
  <si>
    <t>Sore ini Sabtu, 22 Agustus 2026 sekitar pukul 16.38 kami tiba di Halte Portable Tamansiswa di Jalan Tamansiswa di Depan Masjid Al-Jihad. Halte ini berada di trotoar, dan berupa halte kecil dengan kedua tangga di kanan kiri nya tanpa atap dan berwarna hijau kuning. Kekurangannya halte tidak terlihat dan berada di trotoar yang menghalangi jalur pejalan kaki dengan bagian belakang halte digunakan untuk jualan serta tidak ada bangku duduk. Kondisi halte sepi dan tidak terdapat penjaganya. #BANGJO</t>
  </si>
  <si>
    <t>Sore ini Sabtu, 22 Agustus 2026 sekitar pukul 16.32 kami tiba di Halte Taman Siswa di Jalan Tamansiswa. Halte ini berada di trotoar, dan terdapat fasilitas seperti 1 bangku tempat duduk, pegangan tangga, map bus, dan tangga ramah disabilitas. Namun terdapat vandalisme dan terlihat sedikit kotor serta pijakan didalam halte sudah goyang dan tangga disabilitas nya keropos. Kondisi halte sepi dan tidak terdapat penjaganya. #BANGJO</t>
  </si>
  <si>
    <t>Sore ini Sabtu, 22 Agustus 2026 sekitar pukul 16.24 kami tiba di Halte Museum Perjuangan di Jalan Kolonel Sugiyono. Halte ini berada di trotar dekat dengan masjid Baiturrahman, terdapat berbagai fasilitas seperti bangku tempat duduk, pegangan tangga, map bus, dan tangga ramah disabilitas. Kondisi saat kunjungan sepi, terdapat 2 petugas jaga. Kondisi halte terawat dengan tutupan kaca di sekitarnya. Kekurangannya di parkir sepeda motor yang tidak ada sehingga sistem pengantarannya drop off, tidak ada nama halte di depan halte sehingga sulit diidentifikasi. Dan didekat halte ada lubang besar karena renovasi. #BANGJO</t>
  </si>
  <si>
    <t>Sore ini Sabtu, 22 Agustus 2026 sekitar pukul 16.13 kami tiba di Halte Ngabean (Dana Keistemewaan)di Jalan Kolonel Sugiyono . Halte ini berada di trotar terdapat berbagai fasilitas seperti bangku tempat duduk, pegangan tangga, map bus, dan tangga ramah disabilitas. Kondisi saat kunjungan sepi, terdapat petugas jaga. Kondisi halte sangat terawat dengan tutupan kaca di sekitarnya dan bersih. Kekurangannya di parkir sepeda motor yang tidak ada sehingga sistem pengantarannya drop off, tidak ada nama halte di depan halte sehingga sulit diidentifikasi dan kursi tunggu penumpang yang hanya 1. #BANGJO</t>
  </si>
  <si>
    <t>Siang ini Sabtu, 22 Agustus 2026 sekitar pukul 15.47 kami tiba di Halte Jokteng kulon SMAN 7 di Jalan M.T Haryono di seberang Adhi Surya Motor. Halte ini berada di trotar, dan terdapat fasilitas seperti bangku tempat duduk, pegangan tangga, map bus, dan tangga ramah disabilitas. Namun kondisi halte tidak terawat, terdapat vandalisme dan terlihat kotor, jalan masuk yang terdapat tangga juga dihalangi cone dan palang besi sehingga menganggu mobilitas penumpang serta tidak terdapat tulisan nama halte sehingga menyulitkan penumpang untuk mengidentifikasi halte tersebut. Kondisi sepi dan tidak terdapat penjaganya. #BANGJO</t>
  </si>
  <si>
    <t>Siang ini Sabtu, 22 Agustus 2026 sekitar pukul 15.37 kami tiba di Halte Jokteng kulon di Jalan M.T Haryono di seberang Medi Farma. Halte ini berada di trotar, dan terdapat berbagai fasilitas seperti bangku tempat duduk, pegangan tangga, map bus, dan tangga ramah disabilitas. Kondisi sepi dan tidak terdapat penjaganya. Minusnya di parkir sepeda motor yang tidak ada sehingga sistem pengantarannya drop off dan tulisan halte yang sudah tidak terawat sehingga kurang terlihat. Ada tangga yang terhalang dengan besi. #BANGJO</t>
  </si>
  <si>
    <t>Sore ini Sabtu, 22 Agustus 2026 sekitar pukul 15.20 kami tiba di Halte Terminal Ngabeyan di depan area parkir Ngabeyan. Halte ini terletak di depan area parkir ngabeyan. Halte ini sebatas terminal tangga, untuk bus Transjogja. Kondisi halte ramai. Tidak ada petugas. Fasilitas tidak ada,hanya saja lokasi halte yang tepat didepan zebra cross lumayan menguntungkan. Kurang bangku duduk, walau bersebelahan dengan Halte Ngabean yang memiliki bangku duduk, halte ini seharusnya diberi juga supaya para penumpang di halte ini bisa menunggu dengan nyaman. #BANGJO</t>
  </si>
  <si>
    <t>Sore ini Sabtu, 22 Agustus 2026 sekitar pukul 15.18 kami tiba di Halte Ngabeyan di dalam area Parkir Ngabeyan. Halte ini terletak di dalam area parkir ngabeyan terdapat berbagai fasilitas bangku tempat duduk, pegangan tangga, map bus, tangga ramah disabilitas, parkir karyawan, loket tiket, parkir karyawan, petugas loket, wifi, papan informasi, dan sebagianya.. Kondisi halte ramai. Petugas ramah. Minusnya halte terlalu sempit untuk seluruh penunggu bus. #BANGJO</t>
  </si>
  <si>
    <t>Siang ini Sabtu, 22 Agustus 2026 sekitar pukul 13.40 kami tiba di Halte Senopati 2 di Jalan Panembahan Senopati. Halte ini berada di trotar terdapat berbagai fasilitas seperti bangku tempat duduk, pegangan tangga, map bus, dan tangga ramah disabilitas. Kondisi lumayan ramai. Terdapat petugas. Kondisi halte sangat terawat dengan tutupan kaca di sekitarnya dan berada di tempat strategis yaitu depan museum vedeburg dan taman pintar. Minusnya di parkir sepeda motor yang tidak ada sehingga sistem pengantarannya drop off. Halte ini 11/12 dengan Halte Senopati 1 . Disekitar nya banyak jualan jajan. #BANGJO</t>
  </si>
  <si>
    <t>Siang ini Sabtu, 22 Agustus 2026 sekitar pukul 13.45 kami tiba di Halte Senopati 1 di Jalan Panembahan Senopati. Halte ini berada di trotar terdapat berbagai fasilitas seperti bangku tempat duduk, pegangan tangga, map bus, dan tangga ramah disabilitas. Kondisi lumayan ramai. Terdapat petugas. Kondisi halte sangat terawat dengan tutupan kaca di sekitarnya dan berada di tempat strategis yaitu depan museum vedeburg dan taman pintar. Minusnya di parkir sepeda motor yang tidak ada sehingga sistem pengantarannya drop off. Halte ini tergolong sangat bagus. Sangat mengedepankan kenyamanan disabilitas.#BANGJO</t>
  </si>
  <si>
    <t>Siang ini Sabtu, 22 Agustus 2026 sekitar pukul 13.21 kami tiba di Halte Kusumanegara 2 di Jalan Kusumanegara. Di halte ini di trotarnya terdapat berbagai fasilitas seperti parkir sepeda, bangku tempat duduk, pegangan tangga, map bus, dan tangga ramah disabilitas. Kondisi lumayan sepi karena tidak jam berangkat atau pulang kerja. Tidak terdapat petugas. Minusnya di parkir sepeda motor yang tidak ada sehingga sistem pengantarannya drop off, tidak ada nama halte, sehingga sulit untuk dikenali, dan fasilitas parkir sepeda tidak terawat dan terdapat korosi. Dan Mapnya terkena vandalisme#BANGJO</t>
  </si>
  <si>
    <t>Siang ini Sabtu, 22 Agustus 2026 sekitar pukul 13.03 kami tiba di Halte Museum Biologi di Jalan Sultan Agung. Halte ini berada di trotar, dan terdapat berbagai fasilitas seperti bangku tempat duduk, kipas, pegangan tangga, map bus, dan tangga ramah disabilitas. Kondisi lumayan sepi karena tidak jam berangkat atau pulang kerja. Minusnya tulisan halte yang sudah tidak terawat sehingga kurang terlihat, berada di jalan yang sempit dan dekat dengan lampu merah sehingga lalu lintas padat. Ramainya pun karena dibelakangnya ada warung makan. #BANGJO</t>
  </si>
  <si>
    <t>Siang ini Sabtu, 22 Agustus 2026 sekitar pukul 12.53 kami tiba di Halte Pakualaman di Jalan Sultan Agung Dekat Toko Jogja Kampus. Halte ini berada di trotar, dan terdapat berbagai fasilitas seperti bangku tempat duduk, pegangan tangga, map bus, dan tangga ramah disabilitas (sudah aga keropos). Kondisi lumayan sepi dan tidak terdapat penjaganya karena tidak jam berangkat atau pulang kerja. Minusnya di parkir sepeda motor yang tidak ada sehingga sistem pengantarannya drop off dan tulisan halte yang sudah tidak terawat sehingga kurang terlihat #BANGJO</t>
  </si>
  <si>
    <t>Siang ini Sabtu, 22 Agustus 2026 sekitar pukul 12.41 kami tiba di Halte Kusumanegara 4 di Jalan Kusumanegara di Depan Kantor Kementrian Agraria dan Tata Ruang / Badan Pertahanan Nasional Jogja. Di halte ini di trotarnya terhalang pohon. terdapat berbagai fasilitas seperti parkir sepedah (tapi tidak terawat),petugas , bangku tempat duduk, pegangan tangga, map bus, dan tangga ramah disabilitas. Kondisi lumayan sepi karena tidak jam berangkat atau pulang kerja. Petugas ramah. Minusnya di parkir sepeda motor yang tidak ada sehingga sistem pengantarannya drop off. #BANGJO</t>
  </si>
  <si>
    <t>Siang ini Sabtu, 22 Agustus 2026 sekitar pukul 12.26 kami tiba di Halte Trans BonBin di Jalan Kusumanegara. Di halte ini di trotarnya terdapat berbagai fasilitas seperti parkir sepedah,petugas , bangku tempat duduk, pegangan tangga, map bus, dan tangga ramah disabilitas. Kondisi lumayan sepi karena tidak jam berangkat atau pulang kerja. Petugas ramah. Minusnya di parkir sepeda motor yang tidak ada sehingga sistem pengantarannya drop off. #BANGJO</t>
  </si>
  <si>
    <t>title</t>
  </si>
  <si>
    <t>longitude</t>
  </si>
  <si>
    <t>latitude</t>
  </si>
  <si>
    <t>user_full_name</t>
  </si>
  <si>
    <t>110.3752707</t>
  </si>
  <si>
    <t>-7.7871872</t>
  </si>
  <si>
    <t>110.375734</t>
  </si>
  <si>
    <t>-7.777552952</t>
  </si>
  <si>
    <t>110.375182</t>
  </si>
  <si>
    <t>-7.78119793</t>
  </si>
  <si>
    <t>110.3778626</t>
  </si>
  <si>
    <t>-7.783064173</t>
  </si>
  <si>
    <t>110.3842867</t>
  </si>
  <si>
    <t>-7.783115408</t>
  </si>
  <si>
    <t>110.3665165</t>
  </si>
  <si>
    <t>-7.787650231</t>
  </si>
  <si>
    <t>110.3668458</t>
  </si>
  <si>
    <t>-7.784746411</t>
  </si>
  <si>
    <t>110.3598916</t>
  </si>
  <si>
    <t>-7.786639736</t>
  </si>
  <si>
    <t>110.3625529</t>
  </si>
  <si>
    <t>-7.782872521</t>
  </si>
  <si>
    <t>110.3695586</t>
  </si>
  <si>
    <t>-7.782965838</t>
  </si>
  <si>
    <t>110.3688244</t>
  </si>
  <si>
    <t>-7.782784951</t>
  </si>
  <si>
    <t>110.3664958</t>
  </si>
  <si>
    <t>-7.777833012</t>
  </si>
  <si>
    <t>110.366726</t>
  </si>
  <si>
    <t>-7.777881498</t>
  </si>
  <si>
    <t>110.3680087</t>
  </si>
  <si>
    <t>-7.775795579</t>
  </si>
  <si>
    <t>110.3863732</t>
  </si>
  <si>
    <t>-7.815705688</t>
  </si>
  <si>
    <t>110.3874817</t>
  </si>
  <si>
    <t>-7.815572513</t>
  </si>
  <si>
    <t>110.3949562</t>
  </si>
  <si>
    <t>-7.819134048</t>
  </si>
  <si>
    <t>110.3615118</t>
  </si>
  <si>
    <t>-7.792450662</t>
  </si>
  <si>
    <t>110.3949965</t>
  </si>
  <si>
    <t>-7.818933411</t>
  </si>
  <si>
    <t>110.3656135</t>
  </si>
  <si>
    <t>-7.795173089</t>
  </si>
  <si>
    <t>110.3913245</t>
  </si>
  <si>
    <t>-7.825830131</t>
  </si>
  <si>
    <t>110.3661057</t>
  </si>
  <si>
    <t>-7.790905356</t>
  </si>
  <si>
    <t>110.3899383</t>
  </si>
  <si>
    <t>-7.827094408</t>
  </si>
  <si>
    <t>110.3900136</t>
  </si>
  <si>
    <t>-7.827296156</t>
  </si>
  <si>
    <t>110.3726472</t>
  </si>
  <si>
    <t>-7.795611353</t>
  </si>
  <si>
    <t>110.3735717</t>
  </si>
  <si>
    <t>-7.790516123</t>
  </si>
  <si>
    <t>110.3819726</t>
  </si>
  <si>
    <t>-7.790566735</t>
  </si>
  <si>
    <t>110.3900042</t>
  </si>
  <si>
    <t>-7.831737722</t>
  </si>
  <si>
    <t>110.3901953</t>
  </si>
  <si>
    <t>-7.832450449</t>
  </si>
  <si>
    <t>110.3832306</t>
  </si>
  <si>
    <t>-7.797533813</t>
  </si>
  <si>
    <t>110.3918387</t>
  </si>
  <si>
    <t>-7.826017117</t>
  </si>
  <si>
    <t>110.3933508</t>
  </si>
  <si>
    <t>-7.791168292</t>
  </si>
  <si>
    <t>110.3950222</t>
  </si>
  <si>
    <t>-7.80041308</t>
  </si>
  <si>
    <t>110.3798916</t>
  </si>
  <si>
    <t>-7.824865819</t>
  </si>
  <si>
    <t>TPB Sorogenen (Wirosaban) di Depan Ruko</t>
  </si>
  <si>
    <t>110.3791759</t>
  </si>
  <si>
    <t>-7.824734488</t>
  </si>
  <si>
    <t>110.3671701</t>
  </si>
  <si>
    <t>-7.801403484</t>
  </si>
  <si>
    <t>110.360401</t>
  </si>
  <si>
    <t>-7.801152961</t>
  </si>
  <si>
    <t>110.3776763</t>
  </si>
  <si>
    <t>-7.822836023</t>
  </si>
  <si>
    <t>110.3775314</t>
  </si>
  <si>
    <t>-7.822642588</t>
  </si>
  <si>
    <t>110.3601766</t>
  </si>
  <si>
    <t>-7.80124356</t>
  </si>
  <si>
    <t>110.3759844</t>
  </si>
  <si>
    <t>-7.816851924</t>
  </si>
  <si>
    <t>110.3521427</t>
  </si>
  <si>
    <t>-7.799412499</t>
  </si>
  <si>
    <t>110.3760291</t>
  </si>
  <si>
    <t>-7.817037736</t>
  </si>
  <si>
    <t>110.3533742</t>
  </si>
  <si>
    <t>-7.793130551</t>
  </si>
  <si>
    <t>110.3718015</t>
  </si>
  <si>
    <t>-7.815148378</t>
  </si>
  <si>
    <t>110.3963574</t>
  </si>
  <si>
    <t>-7.822362551</t>
  </si>
  <si>
    <t>110.4010909</t>
  </si>
  <si>
    <t>-7.819606651</t>
  </si>
  <si>
    <t>110.3883905</t>
  </si>
  <si>
    <t>-7.805580688</t>
  </si>
  <si>
    <t>110.3781961</t>
  </si>
  <si>
    <t>-7.804210588</t>
  </si>
  <si>
    <t>110.3769565</t>
  </si>
  <si>
    <t>-7.810990188</t>
  </si>
  <si>
    <t>110.3765</t>
  </si>
  <si>
    <t>-7.813660888</t>
  </si>
  <si>
    <t>110.3717979</t>
  </si>
  <si>
    <t>-7.815159263</t>
  </si>
  <si>
    <t>110.3701451</t>
  </si>
  <si>
    <t>-7.814858788</t>
  </si>
  <si>
    <t>110.3581612</t>
  </si>
  <si>
    <t>-7.813493488</t>
  </si>
  <si>
    <t>110.3573861</t>
  </si>
  <si>
    <t>-7.813175088</t>
  </si>
  <si>
    <t>110.3563589</t>
  </si>
  <si>
    <t>-7.8037059</t>
  </si>
  <si>
    <t>110.356361</t>
  </si>
  <si>
    <t>-7.803703088</t>
  </si>
  <si>
    <t>110.3671291</t>
  </si>
  <si>
    <t>-7.801495688</t>
  </si>
  <si>
    <t>110.3670972</t>
  </si>
  <si>
    <t>-7.801566188</t>
  </si>
  <si>
    <t>110.382151</t>
  </si>
  <si>
    <t>-7.801912</t>
  </si>
  <si>
    <t>110.3740983</t>
  </si>
  <si>
    <t>-7.801711288</t>
  </si>
  <si>
    <t>110.3757321</t>
  </si>
  <si>
    <t>-7.801687288</t>
  </si>
  <si>
    <t>110.3933546</t>
  </si>
  <si>
    <t>-7.802256588</t>
  </si>
  <si>
    <t>110.3988688</t>
  </si>
  <si>
    <t>-7.802311088</t>
  </si>
  <si>
    <t>Klasifikasi Halte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</si>
</sst>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0"/>
    <numFmt numFmtId="165" formatCode="0.0000"/>
    <numFmt numFmtId="166" formatCode="0.0%"/>
    <numFmt numFmtId="167" formatCode="_(* #,##0.00_);_(* \(#,##0.00\);_(* \-??_);_(@_)"/>
    <numFmt numFmtId="168" formatCode="_-* #,##0.00_-;\-* #,##0.00_-;_-* \-??_-;_-@_-"/>
    <numFmt numFmtId="169" formatCode="0.000000000"/>
    <numFmt numFmtId="170" formatCode="0.000"/>
  </numFmts>
  <fonts count="10" x14ac:knownFonts="1">
    <font>
      <sz val="11"/>
      <color theme="1"/>
      <name val="Calibri"/>
      <family val="2"/>
      <charset val="1"/>
    </font>
    <font>
      <b/>
      <sz val="10"/>
      <color rgb="FFFFFFFF"/>
      <name val="Arial"/>
      <charset val="1"/>
    </font>
    <font>
      <sz val="10"/>
      <name val="Arial"/>
      <charset val="1"/>
    </font>
    <font>
      <b/>
      <sz val="9"/>
      <name val="Arial"/>
      <charset val="1"/>
    </font>
    <font>
      <i/>
      <sz val="9"/>
      <name val="Arial"/>
      <charset val="1"/>
    </font>
    <font>
      <sz val="10"/>
      <name val="Arial"/>
      <family val="2"/>
    </font>
    <font>
      <sz val="11"/>
      <name val="Arial"/>
      <charset val="1"/>
    </font>
    <font>
      <b/>
      <sz val="11"/>
      <name val="Arial"/>
      <charset val="1"/>
    </font>
    <font>
      <i/>
      <sz val="11"/>
      <name val="Arial"/>
      <charset val="1"/>
    </font>
    <font>
      <sz val="11"/>
      <color theme="1"/>
      <name val="Calibri"/>
      <family val="2"/>
      <charset val="1"/>
    </font>
  </fonts>
  <fills count="6">
    <fill>
      <patternFill patternType="none"/>
    </fill>
    <fill>
      <patternFill patternType="gray125"/>
    </fill>
    <fill>
      <patternFill patternType="solid">
        <fgColor rgb="FF1F4E78"/>
        <bgColor rgb="FF003366"/>
      </patternFill>
    </fill>
    <fill>
      <patternFill patternType="solid">
        <fgColor rgb="FFD9E1F2"/>
        <bgColor rgb="FFE2EFDA"/>
      </patternFill>
    </fill>
    <fill>
      <patternFill patternType="solid">
        <fgColor rgb="FFFFFF00"/>
        <bgColor rgb="FFFFFF00"/>
      </patternFill>
    </fill>
    <fill>
      <patternFill patternType="solid">
        <fgColor rgb="FFE2EFDA"/>
        <bgColor rgb="FFD9E1F2"/>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auto="1"/>
      </left>
      <right style="thin">
        <color auto="1"/>
      </right>
      <top style="thin">
        <color auto="1"/>
      </top>
      <bottom style="thin">
        <color auto="1"/>
      </bottom>
      <diagonal/>
    </border>
    <border>
      <left style="thin">
        <color rgb="FF999999"/>
      </left>
      <right style="thin">
        <color rgb="FF999999"/>
      </right>
      <top/>
      <bottom style="thin">
        <color rgb="FF999999"/>
      </bottom>
      <diagonal/>
    </border>
  </borders>
  <cellStyleXfs count="2">
    <xf numFmtId="0" fontId="0" fillId="0" borderId="0"/>
    <xf numFmtId="167" fontId="9" fillId="0" borderId="0"/>
  </cellStyleXfs>
  <cellXfs count="41">
    <xf numFmtId="0" fontId="0" fillId="0" borderId="0" xfId="0"/>
    <xf numFmtId="0" fontId="7" fillId="0" borderId="0" xfId="0" applyFont="1"/>
    <xf numFmtId="0" fontId="6" fillId="0" borderId="1" xfId="0" applyFont="1" applyBorder="1"/>
    <xf numFmtId="0" fontId="7" fillId="0" borderId="1" xfId="0" applyFont="1" applyBorder="1"/>
    <xf numFmtId="0" fontId="1" fillId="2" borderId="0" xfId="0" applyFont="1" applyFill="1" applyAlignment="1">
      <alignment horizontal="center" vertical="center" wrapText="1"/>
    </xf>
    <xf numFmtId="0" fontId="1" fillId="2" borderId="0" xfId="0" applyFont="1" applyFill="1"/>
    <xf numFmtId="0" fontId="2" fillId="0" borderId="0" xfId="0" applyFont="1"/>
    <xf numFmtId="2" fontId="2" fillId="0" borderId="0" xfId="0" applyNumberFormat="1" applyFont="1"/>
    <xf numFmtId="164" fontId="2" fillId="0" borderId="0" xfId="0" applyNumberFormat="1" applyFont="1"/>
    <xf numFmtId="0" fontId="3" fillId="0" borderId="0" xfId="0" applyFont="1"/>
    <xf numFmtId="0" fontId="4" fillId="0" borderId="0" xfId="0" applyFont="1"/>
    <xf numFmtId="0" fontId="6" fillId="0" borderId="0" xfId="0" applyFont="1"/>
    <xf numFmtId="0" fontId="7" fillId="3" borderId="1" xfId="0" applyFont="1" applyFill="1" applyBorder="1" applyAlignment="1">
      <alignment horizontal="center" vertical="center"/>
    </xf>
    <xf numFmtId="0" fontId="7" fillId="3" borderId="1" xfId="0" applyFont="1" applyFill="1" applyBorder="1"/>
    <xf numFmtId="0" fontId="6" fillId="0" borderId="1" xfId="0" applyFont="1" applyBorder="1" applyAlignment="1">
      <alignment horizontal="center" vertical="center"/>
    </xf>
    <xf numFmtId="0" fontId="6" fillId="4" borderId="1" xfId="0" applyFont="1" applyFill="1" applyBorder="1" applyAlignment="1">
      <alignment horizontal="center" vertical="center"/>
    </xf>
    <xf numFmtId="0" fontId="8" fillId="0" borderId="0" xfId="0" applyFont="1"/>
    <xf numFmtId="0" fontId="7" fillId="0" borderId="2" xfId="0" applyFont="1" applyBorder="1"/>
    <xf numFmtId="0" fontId="7" fillId="3" borderId="2" xfId="0" applyFont="1" applyFill="1" applyBorder="1" applyAlignment="1">
      <alignment horizontal="center" vertical="center"/>
    </xf>
    <xf numFmtId="0" fontId="7" fillId="3" borderId="3" xfId="0" applyFont="1" applyFill="1" applyBorder="1" applyAlignment="1">
      <alignment horizontal="center"/>
    </xf>
    <xf numFmtId="166" fontId="7" fillId="3" borderId="3" xfId="0" applyNumberFormat="1" applyFont="1" applyFill="1" applyBorder="1" applyAlignment="1">
      <alignment horizontal="center"/>
    </xf>
    <xf numFmtId="0" fontId="6" fillId="3" borderId="3" xfId="0" applyFont="1" applyFill="1" applyBorder="1"/>
    <xf numFmtId="168" fontId="6" fillId="0" borderId="3" xfId="1" applyNumberFormat="1" applyFont="1" applyBorder="1" applyAlignment="1">
      <alignment horizontal="center" vertical="center"/>
    </xf>
    <xf numFmtId="168" fontId="7" fillId="0" borderId="3" xfId="1" applyNumberFormat="1" applyFont="1" applyBorder="1" applyAlignment="1">
      <alignment horizontal="center" vertical="center"/>
    </xf>
    <xf numFmtId="0" fontId="0" fillId="0" borderId="3" xfId="0" applyBorder="1"/>
    <xf numFmtId="0" fontId="6" fillId="0" borderId="3" xfId="0" applyFont="1" applyBorder="1"/>
    <xf numFmtId="168" fontId="9" fillId="0" borderId="3" xfId="1" applyNumberFormat="1" applyBorder="1"/>
    <xf numFmtId="0" fontId="7" fillId="0" borderId="3" xfId="0" applyFont="1" applyBorder="1"/>
    <xf numFmtId="0" fontId="7" fillId="0" borderId="4" xfId="0" applyFont="1" applyBorder="1"/>
    <xf numFmtId="169" fontId="6" fillId="0" borderId="1" xfId="0" applyNumberFormat="1" applyFont="1" applyBorder="1" applyAlignment="1">
      <alignment horizontal="center" vertical="center"/>
    </xf>
    <xf numFmtId="169" fontId="0" fillId="0" borderId="0" xfId="0" applyNumberFormat="1"/>
    <xf numFmtId="165" fontId="7" fillId="5" borderId="2" xfId="0" applyNumberFormat="1" applyFont="1" applyFill="1" applyBorder="1" applyAlignment="1">
      <alignment horizontal="center" vertical="center"/>
    </xf>
    <xf numFmtId="165" fontId="6" fillId="5" borderId="3" xfId="0" applyNumberFormat="1" applyFont="1" applyFill="1" applyBorder="1" applyAlignment="1">
      <alignment horizontal="center" vertical="center"/>
    </xf>
    <xf numFmtId="0" fontId="6" fillId="0" borderId="0" xfId="0" applyFont="1" applyAlignment="1">
      <alignment horizontal="center" vertical="center"/>
    </xf>
    <xf numFmtId="170" fontId="7" fillId="0" borderId="0" xfId="0" applyNumberFormat="1" applyFont="1" applyAlignment="1">
      <alignment horizontal="center" vertical="center"/>
    </xf>
    <xf numFmtId="166" fontId="7" fillId="0" borderId="0" xfId="0" applyNumberFormat="1" applyFont="1" applyAlignment="1">
      <alignment horizontal="center" vertical="center"/>
    </xf>
    <xf numFmtId="0" fontId="7" fillId="0" borderId="0" xfId="0" applyFont="1" applyAlignment="1">
      <alignment horizontal="center"/>
    </xf>
    <xf numFmtId="165" fontId="0" fillId="0" borderId="0" xfId="0" applyNumberFormat="1"/>
    <xf numFmtId="0" fontId="7" fillId="0" borderId="1" xfId="0" applyFont="1" applyBorder="1"/>
    <xf numFmtId="0" fontId="6" fillId="0" borderId="1" xfId="0" applyFont="1" applyBorder="1"/>
    <xf numFmtId="0" fontId="7" fillId="0" borderId="0" xfId="0" applyFont="1"/>
  </cellXfs>
  <cellStyles count="2">
    <cellStyle name="Comma" xfId="1" builtin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4"/>
  <sheetViews>
    <sheetView tabSelected="1" topLeftCell="C1" zoomScaleNormal="100" workbookViewId="0">
      <pane ySplit="1" topLeftCell="A2" activePane="bottomLeft" state="frozen"/>
      <selection pane="bottomLeft" activeCell="J2" sqref="J2"/>
    </sheetView>
  </sheetViews>
  <sheetFormatPr defaultColWidth="8.6328125" defaultRowHeight="14.5" x14ac:dyDescent="0.35"/>
  <cols>
    <col min="1" max="1" width="11" customWidth="1"/>
    <col min="2" max="2" width="45" customWidth="1"/>
    <col min="3" max="3" width="25" customWidth="1"/>
    <col min="4" max="4" width="28" customWidth="1"/>
    <col min="5" max="5" width="22" customWidth="1"/>
    <col min="6" max="6" width="25" customWidth="1"/>
    <col min="7" max="7" width="16" customWidth="1"/>
    <col min="8" max="9" width="14" customWidth="1"/>
    <col min="10" max="10" width="22" customWidth="1"/>
    <col min="11" max="11" width="30" hidden="1" customWidth="1"/>
  </cols>
  <sheetData>
    <row r="1" spans="1:11" ht="26.25" customHeight="1" x14ac:dyDescent="0.35">
      <c r="A1" s="4" t="s">
        <v>0</v>
      </c>
      <c r="B1" s="4" t="s">
        <v>1</v>
      </c>
      <c r="C1" s="4" t="s">
        <v>2</v>
      </c>
      <c r="D1" s="4" t="s">
        <v>3</v>
      </c>
      <c r="E1" s="4" t="s">
        <v>4</v>
      </c>
      <c r="F1" s="4" t="s">
        <v>5</v>
      </c>
      <c r="G1" s="4" t="s">
        <v>6</v>
      </c>
      <c r="H1" s="5" t="s">
        <v>7</v>
      </c>
      <c r="I1" s="5" t="s">
        <v>8</v>
      </c>
      <c r="J1" s="5" t="s">
        <v>330</v>
      </c>
      <c r="K1" s="5" t="s">
        <v>9</v>
      </c>
    </row>
    <row r="2" spans="1:11" x14ac:dyDescent="0.35">
      <c r="A2" s="6">
        <f t="shared" ref="A2:A33" si="0">RANK(G2,$G$2:$G$74,0)</f>
        <v>1</v>
      </c>
      <c r="B2" s="6" t="s">
        <v>10</v>
      </c>
      <c r="C2" s="6" t="s">
        <v>11</v>
      </c>
      <c r="D2" s="6">
        <v>100</v>
      </c>
      <c r="E2" s="6">
        <v>75</v>
      </c>
      <c r="F2" s="6">
        <v>42</v>
      </c>
      <c r="G2" s="7">
        <f>D2*AHP!$B$29+E2*AHP!$B$30+F2*AHP!$B$31</f>
        <v>76.661111111111111</v>
      </c>
      <c r="H2" s="8" t="str">
        <f>IFERROR(INDEX(Koordinat!$B:$B,MATCH($K2,Koordinat!$A:$A,0)),"")</f>
        <v>110.3656135</v>
      </c>
      <c r="I2" s="8" t="str">
        <f>IFERROR(INDEX(Koordinat!$C:$C,MATCH($K2,Koordinat!$A:$A,0)),"")</f>
        <v>-7.795173089</v>
      </c>
      <c r="J2" s="6" t="str" cm="1">
        <f t="array" ref="J2">_xlfn.IFS(G2&lt;=20,"Sangat Rendah",G2&lt;=40,"Rendah",G2&lt;=60,"Sedang",G2&lt;=80,"Tinggi",G2&lt;=100,"Sangat Tinggi")</f>
        <v>Tinggi</v>
      </c>
      <c r="K2" s="6" t="str">
        <f t="shared" ref="K2:K33" si="1">TRIM(B2)</f>
        <v>Halte Malioboro 2 di Depan BPD DIY dan Government Tourist Information Centre</v>
      </c>
    </row>
    <row r="3" spans="1:11" x14ac:dyDescent="0.35">
      <c r="A3" s="6">
        <f t="shared" si="0"/>
        <v>2</v>
      </c>
      <c r="B3" s="6" t="s">
        <v>12</v>
      </c>
      <c r="C3" s="6" t="s">
        <v>11</v>
      </c>
      <c r="D3" s="6">
        <v>75.400000000000006</v>
      </c>
      <c r="E3" s="6">
        <v>50</v>
      </c>
      <c r="F3" s="6">
        <v>70</v>
      </c>
      <c r="G3" s="7">
        <f>D3*AHP!$B$29+E3*AHP!$B$30+F3*AHP!$B$31</f>
        <v>65.664444444444456</v>
      </c>
      <c r="H3" s="8" t="str">
        <f>IFERROR(INDEX(Koordinat!$B:$B,MATCH($K3,Koordinat!$A:$A,0)),"")</f>
        <v>110.3726472</v>
      </c>
      <c r="I3" s="8" t="str">
        <f>IFERROR(INDEX(Koordinat!$C:$C,MATCH($K3,Koordinat!$A:$A,0)),"")</f>
        <v>-7.795611353</v>
      </c>
      <c r="J3" s="6" t="str" cm="1">
        <f t="array" ref="J3">_xlfn.IFS(G3&lt;=20,"Sangat Rendah",G3&lt;=40,"Rendah",G3&lt;=60,"Sedang",G3&lt;=80,"Tinggi",G3&lt;=100,"Sangat Tinggi")</f>
        <v>Tinggi</v>
      </c>
      <c r="K3" s="6" t="str">
        <f t="shared" si="1"/>
        <v>Halte Hayam Wuruk Barat di Depan Taman Kanak Kanak Negeri 5 dan Dinas Pendidikan Kota Yogyakarta, serta di Sebrang Indomaret Lempuyangan</v>
      </c>
    </row>
    <row r="4" spans="1:11" x14ac:dyDescent="0.35">
      <c r="A4" s="6">
        <f t="shared" si="0"/>
        <v>6</v>
      </c>
      <c r="B4" s="6" t="s">
        <v>13</v>
      </c>
      <c r="C4" s="6" t="s">
        <v>14</v>
      </c>
      <c r="D4" s="6">
        <v>76.099999999999994</v>
      </c>
      <c r="E4" s="6">
        <v>63</v>
      </c>
      <c r="F4" s="6">
        <v>42</v>
      </c>
      <c r="G4" s="7">
        <f>D4*AHP!$B$29+E4*AHP!$B$30+F4*AHP!$B$31</f>
        <v>62.902222222222221</v>
      </c>
      <c r="H4" s="8" t="str">
        <f>IFERROR(INDEX(Koordinat!$B:$B,MATCH($K4,Koordinat!$A:$A,0)),"")</f>
        <v>110.3688244</v>
      </c>
      <c r="I4" s="8" t="str">
        <f>IFERROR(INDEX(Koordinat!$C:$C,MATCH($K4,Koordinat!$A:$A,0)),"")</f>
        <v>-7.782784951</v>
      </c>
      <c r="J4" s="6" t="str" cm="1">
        <f t="array" ref="J4">_xlfn.IFS(G4&lt;=20,"Sangat Rendah",G4&lt;=40,"Rendah",G4&lt;=60,"Sedang",G4&lt;=80,"Tinggi",G4&lt;=100,"Sangat Tinggi")</f>
        <v>Tinggi</v>
      </c>
      <c r="K4" s="6" t="str">
        <f t="shared" si="1"/>
        <v>Halte Jend. Sudirman (Santika)</v>
      </c>
    </row>
    <row r="5" spans="1:11" x14ac:dyDescent="0.35">
      <c r="A5" s="6">
        <f t="shared" si="0"/>
        <v>5</v>
      </c>
      <c r="B5" s="6" t="s">
        <v>15</v>
      </c>
      <c r="C5" s="6" t="s">
        <v>14</v>
      </c>
      <c r="D5" s="6">
        <v>78.3</v>
      </c>
      <c r="E5" s="6">
        <v>51</v>
      </c>
      <c r="F5" s="6">
        <v>54</v>
      </c>
      <c r="G5" s="7">
        <f>D5*AHP!$B$29+E5*AHP!$B$30+F5*AHP!$B$31</f>
        <v>63.006666666666668</v>
      </c>
      <c r="H5" s="8" t="str">
        <f>IFERROR(INDEX(Koordinat!$B:$B,MATCH($K5,Koordinat!$A:$A,0)),"")</f>
        <v>110.3668458</v>
      </c>
      <c r="I5" s="8" t="str">
        <f>IFERROR(INDEX(Koordinat!$C:$C,MATCH($K5,Koordinat!$A:$A,0)),"")</f>
        <v>-7.784746411</v>
      </c>
      <c r="J5" s="6" t="str" cm="1">
        <f t="array" ref="J5">_xlfn.IFS(G5&lt;=20,"Sangat Rendah",G5&lt;=40,"Rendah",G5&lt;=60,"Sedang",G5&lt;=80,"Tinggi",G5&lt;=100,"Sangat Tinggi")</f>
        <v>Tinggi</v>
      </c>
      <c r="K5" s="6" t="str">
        <f t="shared" si="1"/>
        <v>Halte TJ Mangkubumi 1</v>
      </c>
    </row>
    <row r="6" spans="1:11" x14ac:dyDescent="0.35">
      <c r="A6" s="6">
        <f t="shared" si="0"/>
        <v>3</v>
      </c>
      <c r="B6" s="6" t="s">
        <v>16</v>
      </c>
      <c r="C6" s="6" t="s">
        <v>14</v>
      </c>
      <c r="D6" s="6">
        <v>74.599999999999994</v>
      </c>
      <c r="E6" s="6">
        <v>26.5</v>
      </c>
      <c r="F6" s="6">
        <v>94</v>
      </c>
      <c r="G6" s="7">
        <f>D6*AHP!$B$29+E6*AHP!$B$30+F6*AHP!$B$31</f>
        <v>63.899444444444448</v>
      </c>
      <c r="H6" s="8" t="str">
        <f>IFERROR(INDEX(Koordinat!$B:$B,MATCH($K6,Koordinat!$A:$A,0)),"")</f>
        <v>110.3625529</v>
      </c>
      <c r="I6" s="8" t="str">
        <f>IFERROR(INDEX(Koordinat!$C:$C,MATCH($K6,Koordinat!$A:$A,0)),"")</f>
        <v>-7.782872521</v>
      </c>
      <c r="J6" s="6" t="str" cm="1">
        <f t="array" ref="J6">_xlfn.IFS(G6&lt;=20,"Sangat Rendah",G6&lt;=40,"Rendah",G6&lt;=60,"Sedang",G6&lt;=80,"Tinggi",G6&lt;=100,"Sangat Tinggi")</f>
        <v>Tinggi</v>
      </c>
      <c r="K6" s="6" t="str">
        <f t="shared" si="1"/>
        <v>Halte TJ Diponegoro</v>
      </c>
    </row>
    <row r="7" spans="1:11" x14ac:dyDescent="0.35">
      <c r="A7" s="6">
        <f t="shared" si="0"/>
        <v>4</v>
      </c>
      <c r="B7" s="6" t="s">
        <v>17</v>
      </c>
      <c r="C7" s="6" t="s">
        <v>11</v>
      </c>
      <c r="D7" s="6">
        <v>73.900000000000006</v>
      </c>
      <c r="E7" s="6">
        <v>25</v>
      </c>
      <c r="F7" s="6">
        <v>94</v>
      </c>
      <c r="G7" s="7">
        <f>D7*AHP!$B$29+E7*AHP!$B$30+F7*AHP!$B$31</f>
        <v>63.120000000000005</v>
      </c>
      <c r="H7" s="8" t="str">
        <f>IFERROR(INDEX(Koordinat!$B:$B,MATCH($K7,Koordinat!$A:$A,0)),"")</f>
        <v>110.3671701</v>
      </c>
      <c r="I7" s="8" t="str">
        <f>IFERROR(INDEX(Koordinat!$C:$C,MATCH($K7,Koordinat!$A:$A,0)),"")</f>
        <v>-7.801403484</v>
      </c>
      <c r="J7" s="6" t="str" cm="1">
        <f t="array" ref="J7">_xlfn.IFS(G7&lt;=20,"Sangat Rendah",G7&lt;=40,"Rendah",G7&lt;=60,"Sedang",G7&lt;=80,"Tinggi",G7&lt;=100,"Sangat Tinggi")</f>
        <v>Tinggi</v>
      </c>
      <c r="K7" s="6" t="str">
        <f t="shared" si="1"/>
        <v>Halte Senopati 2 di Depan Taman Pintar Yogyakarta</v>
      </c>
    </row>
    <row r="8" spans="1:11" x14ac:dyDescent="0.35">
      <c r="A8" s="6">
        <f t="shared" si="0"/>
        <v>7</v>
      </c>
      <c r="B8" s="6" t="s">
        <v>18</v>
      </c>
      <c r="C8" s="6" t="s">
        <v>14</v>
      </c>
      <c r="D8" s="6">
        <v>79</v>
      </c>
      <c r="E8" s="6">
        <v>39</v>
      </c>
      <c r="F8" s="6">
        <v>54</v>
      </c>
      <c r="G8" s="7">
        <f>D8*AHP!$B$29+E8*AHP!$B$30+F8*AHP!$B$31</f>
        <v>59.361111111111114</v>
      </c>
      <c r="H8" s="8" t="str">
        <f>IFERROR(INDEX(Koordinat!$B:$B,MATCH($K8,Koordinat!$A:$A,0)),"")</f>
        <v>110.3695586</v>
      </c>
      <c r="I8" s="8" t="str">
        <f>IFERROR(INDEX(Koordinat!$C:$C,MATCH($K8,Koordinat!$A:$A,0)),"")</f>
        <v>-7.782965838</v>
      </c>
      <c r="J8" s="6" t="str" cm="1">
        <f t="array" ref="J8">_xlfn.IFS(G8&lt;=20,"Sangat Rendah",G8&lt;=40,"Rendah",G8&lt;=60,"Sedang",G8&lt;=80,"Tinggi",G8&lt;=100,"Sangat Tinggi")</f>
        <v>Sedang</v>
      </c>
      <c r="K8" s="6" t="str">
        <f t="shared" si="1"/>
        <v>Halte Sudirman Bumiputera</v>
      </c>
    </row>
    <row r="9" spans="1:11" x14ac:dyDescent="0.35">
      <c r="A9" s="6">
        <f t="shared" si="0"/>
        <v>8</v>
      </c>
      <c r="B9" s="6" t="s">
        <v>19</v>
      </c>
      <c r="C9" s="6" t="s">
        <v>11</v>
      </c>
      <c r="D9" s="6">
        <v>71</v>
      </c>
      <c r="E9" s="6">
        <v>25</v>
      </c>
      <c r="F9" s="6">
        <v>82</v>
      </c>
      <c r="G9" s="7">
        <f>D9*AHP!$B$29+E9*AHP!$B$30+F9*AHP!$B$31</f>
        <v>58.794444444444444</v>
      </c>
      <c r="H9" s="8" t="str">
        <f>IFERROR(INDEX(Koordinat!$B:$B,MATCH($K9,Koordinat!$A:$A,0)),"")</f>
        <v>110.3671291</v>
      </c>
      <c r="I9" s="8" t="str">
        <f>IFERROR(INDEX(Koordinat!$C:$C,MATCH($K9,Koordinat!$A:$A,0)),"")</f>
        <v>-7.801495688</v>
      </c>
      <c r="J9" s="6" t="str" cm="1">
        <f t="array" ref="J9">_xlfn.IFS(G9&lt;=20,"Sangat Rendah",G9&lt;=40,"Rendah",G9&lt;=60,"Sedang",G9&lt;=80,"Tinggi",G9&lt;=100,"Sangat Tinggi")</f>
        <v>Sedang</v>
      </c>
      <c r="K9" s="6" t="str">
        <f t="shared" si="1"/>
        <v>Halte Senopati 2 di Jalan Panembahan Senopati dekat Taman Pintar</v>
      </c>
    </row>
    <row r="10" spans="1:11" x14ac:dyDescent="0.35">
      <c r="A10" s="6">
        <f t="shared" si="0"/>
        <v>9</v>
      </c>
      <c r="B10" s="6" t="s">
        <v>20</v>
      </c>
      <c r="C10" s="6" t="s">
        <v>11</v>
      </c>
      <c r="D10" s="6">
        <v>70.3</v>
      </c>
      <c r="E10" s="6">
        <v>25</v>
      </c>
      <c r="F10" s="6">
        <v>82</v>
      </c>
      <c r="G10" s="7">
        <f>D10*AHP!$B$29+E10*AHP!$B$30+F10*AHP!$B$31</f>
        <v>58.506666666666668</v>
      </c>
      <c r="H10" s="8" t="str">
        <f>IFERROR(INDEX(Koordinat!$B:$B,MATCH($K10,Koordinat!$A:$A,0)),"")</f>
        <v>110.3670972</v>
      </c>
      <c r="I10" s="8" t="str">
        <f>IFERROR(INDEX(Koordinat!$C:$C,MATCH($K10,Koordinat!$A:$A,0)),"")</f>
        <v>-7.801566188</v>
      </c>
      <c r="J10" s="6" t="str" cm="1">
        <f t="array" ref="J10">_xlfn.IFS(G10&lt;=20,"Sangat Rendah",G10&lt;=40,"Rendah",G10&lt;=60,"Sedang",G10&lt;=80,"Tinggi",G10&lt;=100,"Sangat Tinggi")</f>
        <v>Sedang</v>
      </c>
      <c r="K10" s="6" t="str">
        <f t="shared" si="1"/>
        <v>Halte Senopati 1 di Jalan Panembahan Senopati dekat Parkiran Bus</v>
      </c>
    </row>
    <row r="11" spans="1:11" x14ac:dyDescent="0.35">
      <c r="A11" s="6">
        <f t="shared" si="0"/>
        <v>10</v>
      </c>
      <c r="B11" s="6" t="s">
        <v>21</v>
      </c>
      <c r="C11" s="6" t="s">
        <v>14</v>
      </c>
      <c r="D11" s="6">
        <v>55.1</v>
      </c>
      <c r="E11" s="6">
        <v>25.5</v>
      </c>
      <c r="F11" s="6">
        <v>100</v>
      </c>
      <c r="G11" s="7">
        <f>D11*AHP!$B$29+E11*AHP!$B$30+F11*AHP!$B$31</f>
        <v>57.12166666666667</v>
      </c>
      <c r="H11" s="8" t="str">
        <f>IFERROR(INDEX(Koordinat!$B:$B,MATCH($K11,Koordinat!$A:$A,0)),"")</f>
        <v>110.366726</v>
      </c>
      <c r="I11" s="8" t="str">
        <f>IFERROR(INDEX(Koordinat!$C:$C,MATCH($K11,Koordinat!$A:$A,0)),"")</f>
        <v>-7.777881498</v>
      </c>
      <c r="J11" s="6" t="str" cm="1">
        <f t="array" ref="J11">_xlfn.IFS(G11&lt;=20,"Sangat Rendah",G11&lt;=40,"Rendah",G11&lt;=60,"Sedang",G11&lt;=80,"Tinggi",G11&lt;=100,"Sangat Tinggi")</f>
        <v>Sedang</v>
      </c>
      <c r="K11" s="6" t="str">
        <f t="shared" si="1"/>
        <v>TPB Wolter Monginsidi</v>
      </c>
    </row>
    <row r="12" spans="1:11" x14ac:dyDescent="0.35">
      <c r="A12" s="6">
        <f t="shared" si="0"/>
        <v>11</v>
      </c>
      <c r="B12" s="6" t="s">
        <v>22</v>
      </c>
      <c r="C12" s="6" t="s">
        <v>11</v>
      </c>
      <c r="D12" s="6">
        <v>70.3</v>
      </c>
      <c r="E12" s="6">
        <v>50</v>
      </c>
      <c r="F12" s="6">
        <v>30</v>
      </c>
      <c r="G12" s="7">
        <f>D12*AHP!$B$29+E12*AHP!$B$30+F12*AHP!$B$31</f>
        <v>53.123333333333342</v>
      </c>
      <c r="H12" s="8" t="str">
        <f>IFERROR(INDEX(Koordinat!$B:$B,MATCH($K12,Koordinat!$A:$A,0)),"")</f>
        <v>110.3661057</v>
      </c>
      <c r="I12" s="8" t="str">
        <f>IFERROR(INDEX(Koordinat!$C:$C,MATCH($K12,Koordinat!$A:$A,0)),"")</f>
        <v>-7.790905356</v>
      </c>
      <c r="J12" s="6" t="str" cm="1">
        <f t="array" ref="J12">_xlfn.IFS(G12&lt;=20,"Sangat Rendah",G12&lt;=40,"Rendah",G12&lt;=60,"Sedang",G12&lt;=80,"Tinggi",G12&lt;=100,"Sangat Tinggi")</f>
        <v>Sedang</v>
      </c>
      <c r="K12" s="6" t="str">
        <f t="shared" si="1"/>
        <v>Halte Malioboro 1 di Jalan Masuk Malioboro dan di Sebrang Jogja Library Center</v>
      </c>
    </row>
    <row r="13" spans="1:11" x14ac:dyDescent="0.35">
      <c r="A13" s="6">
        <f t="shared" si="0"/>
        <v>12</v>
      </c>
      <c r="B13" s="6" t="s">
        <v>23</v>
      </c>
      <c r="C13" s="6" t="s">
        <v>14</v>
      </c>
      <c r="D13" s="6">
        <v>52.9</v>
      </c>
      <c r="E13" s="6">
        <v>27</v>
      </c>
      <c r="F13" s="6">
        <v>70</v>
      </c>
      <c r="G13" s="7">
        <f>D13*AHP!$B$29+E13*AHP!$B$30+F13*AHP!$B$31</f>
        <v>48.875555555555557</v>
      </c>
      <c r="H13" s="8" t="str">
        <f>IFERROR(INDEX(Koordinat!$B:$B,MATCH($K13,Koordinat!$A:$A,0)),"")</f>
        <v>110.3598916</v>
      </c>
      <c r="I13" s="8" t="str">
        <f>IFERROR(INDEX(Koordinat!$C:$C,MATCH($K13,Koordinat!$A:$A,0)),"")</f>
        <v>-7.786639736</v>
      </c>
      <c r="J13" s="6" t="str" cm="1">
        <f t="array" ref="J13">_xlfn.IFS(G13&lt;=20,"Sangat Rendah",G13&lt;=40,"Rendah",G13&lt;=60,"Sedang",G13&lt;=80,"Tinggi",G13&lt;=100,"Sangat Tinggi")</f>
        <v>Sedang</v>
      </c>
      <c r="K13" s="6" t="str">
        <f t="shared" si="1"/>
        <v>Halte SMP N 14</v>
      </c>
    </row>
    <row r="14" spans="1:11" x14ac:dyDescent="0.35">
      <c r="A14" s="6">
        <f t="shared" si="0"/>
        <v>13</v>
      </c>
      <c r="B14" s="6" t="s">
        <v>24</v>
      </c>
      <c r="C14" s="6" t="s">
        <v>11</v>
      </c>
      <c r="D14" s="6">
        <v>64.5</v>
      </c>
      <c r="E14" s="6">
        <v>25</v>
      </c>
      <c r="F14" s="6">
        <v>54</v>
      </c>
      <c r="G14" s="7">
        <f>D14*AHP!$B$29+E14*AHP!$B$30+F14*AHP!$B$31</f>
        <v>48.811111111111117</v>
      </c>
      <c r="H14" s="8" t="str">
        <f>IFERROR(INDEX(Koordinat!$B:$B,MATCH($K14,Koordinat!$A:$A,0)),"")</f>
        <v>110.3601766</v>
      </c>
      <c r="I14" s="8" t="str">
        <f>IFERROR(INDEX(Koordinat!$C:$C,MATCH($K14,Koordinat!$A:$A,0)),"")</f>
        <v>-7.80124356</v>
      </c>
      <c r="J14" s="6" t="str" cm="1">
        <f t="array" ref="J14">_xlfn.IFS(G14&lt;=20,"Sangat Rendah",G14&lt;=40,"Rendah",G14&lt;=60,"Sedang",G14&lt;=80,"Tinggi",G14&lt;=100,"Sangat Tinggi")</f>
        <v>Sedang</v>
      </c>
      <c r="K14" s="6" t="str">
        <f t="shared" si="1"/>
        <v>Halte KHA Dahlan Selatan di Depan Balai Kota Lama dan Masjid Attahkim Kodya Jogjakarta</v>
      </c>
    </row>
    <row r="15" spans="1:11" x14ac:dyDescent="0.35">
      <c r="A15" s="6">
        <f t="shared" si="0"/>
        <v>15</v>
      </c>
      <c r="B15" s="6" t="s">
        <v>25</v>
      </c>
      <c r="C15" s="6" t="s">
        <v>14</v>
      </c>
      <c r="D15" s="6">
        <v>37.700000000000003</v>
      </c>
      <c r="E15" s="6">
        <v>50.5</v>
      </c>
      <c r="F15" s="6">
        <v>54</v>
      </c>
      <c r="G15" s="7">
        <f>D15*AHP!$B$29+E15*AHP!$B$30+F15*AHP!$B$31</f>
        <v>46.151666666666671</v>
      </c>
      <c r="H15" s="8" t="str">
        <f>IFERROR(INDEX(Koordinat!$B:$B,MATCH($K15,Koordinat!$A:$A,0)),"")</f>
        <v>110.3718015</v>
      </c>
      <c r="I15" s="8" t="str">
        <f>IFERROR(INDEX(Koordinat!$C:$C,MATCH($K15,Koordinat!$A:$A,0)),"")</f>
        <v>-7.815148378</v>
      </c>
      <c r="J15" s="6" t="str" cm="1">
        <f t="array" ref="J15">_xlfn.IFS(G15&lt;=20,"Sangat Rendah",G15&lt;=40,"Rendah",G15&lt;=60,"Sedang",G15&lt;=80,"Tinggi",G15&lt;=100,"Sangat Tinggi")</f>
        <v>Sedang</v>
      </c>
      <c r="K15" s="6" t="str">
        <f t="shared" si="1"/>
        <v>Halte Sugiono 2 di Depan Masjid Baiturohim</v>
      </c>
    </row>
    <row r="16" spans="1:11" x14ac:dyDescent="0.35">
      <c r="A16" s="6">
        <f t="shared" si="0"/>
        <v>14</v>
      </c>
      <c r="B16" s="6" t="s">
        <v>26</v>
      </c>
      <c r="C16" s="6" t="s">
        <v>11</v>
      </c>
      <c r="D16" s="6">
        <v>59.4</v>
      </c>
      <c r="E16" s="6">
        <v>25</v>
      </c>
      <c r="F16" s="6">
        <v>54</v>
      </c>
      <c r="G16" s="7">
        <f>D16*AHP!$B$29+E16*AHP!$B$30+F16*AHP!$B$31</f>
        <v>46.714444444444446</v>
      </c>
      <c r="H16" s="8" t="str">
        <f>IFERROR(INDEX(Koordinat!$B:$B,MATCH($K16,Koordinat!$A:$A,0)),"")</f>
        <v>110.360401</v>
      </c>
      <c r="I16" s="8" t="str">
        <f>IFERROR(INDEX(Koordinat!$C:$C,MATCH($K16,Koordinat!$A:$A,0)),"")</f>
        <v>-7.801152961</v>
      </c>
      <c r="J16" s="6" t="str" cm="1">
        <f t="array" ref="J16">_xlfn.IFS(G16&lt;=20,"Sangat Rendah",G16&lt;=40,"Rendah",G16&lt;=60,"Sedang",G16&lt;=80,"Tinggi",G16&lt;=100,"Sangat Tinggi")</f>
        <v>Sedang</v>
      </c>
      <c r="K16" s="6" t="str">
        <f t="shared" si="1"/>
        <v>Halte KHA Dahlan Utara di sebrang Balai Kota Lama dan Masjid Attahkim Kodya Yogyakarta</v>
      </c>
    </row>
    <row r="17" spans="1:11" x14ac:dyDescent="0.35">
      <c r="A17" s="6">
        <f t="shared" si="0"/>
        <v>16</v>
      </c>
      <c r="B17" s="6" t="s">
        <v>27</v>
      </c>
      <c r="C17" s="6" t="s">
        <v>11</v>
      </c>
      <c r="D17" s="6">
        <v>52.2</v>
      </c>
      <c r="E17" s="6">
        <v>50</v>
      </c>
      <c r="F17" s="6">
        <v>30</v>
      </c>
      <c r="G17" s="7">
        <f>D17*AHP!$B$29+E17*AHP!$B$30+F17*AHP!$B$31</f>
        <v>45.682222222222229</v>
      </c>
      <c r="H17" s="8" t="str">
        <f>IFERROR(INDEX(Koordinat!$B:$B,MATCH($K17,Koordinat!$A:$A,0)),"")</f>
        <v>110.3735717</v>
      </c>
      <c r="I17" s="8" t="str">
        <f>IFERROR(INDEX(Koordinat!$C:$C,MATCH($K17,Koordinat!$A:$A,0)),"")</f>
        <v>-7.790516123</v>
      </c>
      <c r="J17" s="6" t="str" cm="1">
        <f t="array" ref="J17">_xlfn.IFS(G17&lt;=20,"Sangat Rendah",G17&lt;=40,"Rendah",G17&lt;=60,"Sedang",G17&lt;=80,"Tinggi",G17&lt;=100,"Sangat Tinggi")</f>
        <v>Sedang</v>
      </c>
      <c r="K17" s="6" t="str">
        <f t="shared" si="1"/>
        <v>TPB Lempuyangan 2 di Depan Taman Rukun Warga 08 Tegal Kemuning</v>
      </c>
    </row>
    <row r="18" spans="1:11" x14ac:dyDescent="0.35">
      <c r="A18" s="6">
        <f t="shared" si="0"/>
        <v>18</v>
      </c>
      <c r="B18" s="6" t="s">
        <v>28</v>
      </c>
      <c r="C18" s="6" t="s">
        <v>14</v>
      </c>
      <c r="D18" s="6">
        <v>23.9</v>
      </c>
      <c r="E18" s="6">
        <v>50</v>
      </c>
      <c r="F18" s="6">
        <v>70</v>
      </c>
      <c r="G18" s="7">
        <f>D18*AHP!$B$29+E18*AHP!$B$30+F18*AHP!$B$31</f>
        <v>44.492222222222225</v>
      </c>
      <c r="H18" s="8" t="str">
        <f>IFERROR(INDEX(Koordinat!$B:$B,MATCH($K18,Koordinat!$A:$A,0)),"")</f>
        <v>110.3874817</v>
      </c>
      <c r="I18" s="8" t="str">
        <f>IFERROR(INDEX(Koordinat!$C:$C,MATCH($K18,Koordinat!$A:$A,0)),"")</f>
        <v>-7.815572513</v>
      </c>
      <c r="J18" s="6" t="str" cm="1">
        <f t="array" ref="J18">_xlfn.IFS(G18&lt;=20,"Sangat Rendah",G18&lt;=40,"Rendah",G18&lt;=60,"Sedang",G18&lt;=80,"Tinggi",G18&lt;=100,"Sangat Tinggi")</f>
        <v>Sedang</v>
      </c>
      <c r="K18" s="6" t="str">
        <f t="shared" si="1"/>
        <v>Halte RSI Hidayatullah di Depan RSI Hidayatullah</v>
      </c>
    </row>
    <row r="19" spans="1:11" x14ac:dyDescent="0.35">
      <c r="A19" s="6">
        <f t="shared" si="0"/>
        <v>17</v>
      </c>
      <c r="B19" s="6" t="s">
        <v>29</v>
      </c>
      <c r="C19" s="6" t="s">
        <v>11</v>
      </c>
      <c r="D19" s="6">
        <v>55.8</v>
      </c>
      <c r="E19" s="6">
        <v>25</v>
      </c>
      <c r="F19" s="6">
        <v>54</v>
      </c>
      <c r="G19" s="7">
        <f>D19*AHP!$B$29+E19*AHP!$B$30+F19*AHP!$B$31</f>
        <v>45.234444444444449</v>
      </c>
      <c r="H19" s="8" t="str">
        <f>IFERROR(INDEX(Koordinat!$B:$B,MATCH($K19,Koordinat!$A:$A,0)),"")</f>
        <v>110.3521427</v>
      </c>
      <c r="I19" s="8" t="str">
        <f>IFERROR(INDEX(Koordinat!$C:$C,MATCH($K19,Koordinat!$A:$A,0)),"")</f>
        <v>-7.799412499</v>
      </c>
      <c r="J19" s="6" t="str" cm="1">
        <f t="array" ref="J19">_xlfn.IFS(G19&lt;=20,"Sangat Rendah",G19&lt;=40,"Rendah",G19&lt;=60,"Sedang",G19&lt;=80,"Tinggi",G19&lt;=100,"Sangat Tinggi")</f>
        <v>Sedang</v>
      </c>
      <c r="K19" s="6" t="str">
        <f t="shared" si="1"/>
        <v>Halte Cokroaminoto SMA 1 /RS AMC Muhammadiyah di Depan RS AMC Muhammadiyah dan di seberang SMA 1 Teladan Yogyakartw</v>
      </c>
    </row>
    <row r="20" spans="1:11" x14ac:dyDescent="0.35">
      <c r="A20" s="6">
        <f t="shared" si="0"/>
        <v>20</v>
      </c>
      <c r="B20" s="6" t="s">
        <v>30</v>
      </c>
      <c r="C20" s="6" t="s">
        <v>11</v>
      </c>
      <c r="D20" s="6">
        <v>57.2</v>
      </c>
      <c r="E20" s="6">
        <v>37.5</v>
      </c>
      <c r="F20" s="6">
        <v>30</v>
      </c>
      <c r="G20" s="7">
        <f>D20*AHP!$B$29+E20*AHP!$B$30+F20*AHP!$B$31</f>
        <v>43.640555555555558</v>
      </c>
      <c r="H20" s="8" t="str">
        <f>IFERROR(INDEX(Koordinat!$B:$B,MATCH($K20,Koordinat!$A:$A,0)),"")</f>
        <v>110.3740983</v>
      </c>
      <c r="I20" s="8" t="str">
        <f>IFERROR(INDEX(Koordinat!$C:$C,MATCH($K20,Koordinat!$A:$A,0)),"")</f>
        <v>-7.801711288</v>
      </c>
      <c r="J20" s="6" t="str" cm="1">
        <f t="array" ref="J20">_xlfn.IFS(G20&lt;=20,"Sangat Rendah",G20&lt;=40,"Rendah",G20&lt;=60,"Sedang",G20&lt;=80,"Tinggi",G20&lt;=100,"Sangat Tinggi")</f>
        <v>Sedang</v>
      </c>
      <c r="K20" s="6" t="str">
        <f t="shared" si="1"/>
        <v>Halte Museum Biologi di Jalan Sultan Agung Depan Soto Mie Pak Kadir</v>
      </c>
    </row>
    <row r="21" spans="1:11" x14ac:dyDescent="0.35">
      <c r="A21" s="6">
        <f t="shared" si="0"/>
        <v>19</v>
      </c>
      <c r="B21" s="6" t="s">
        <v>31</v>
      </c>
      <c r="C21" s="6" t="s">
        <v>14</v>
      </c>
      <c r="D21" s="6">
        <v>52.9</v>
      </c>
      <c r="E21" s="6">
        <v>13</v>
      </c>
      <c r="F21" s="6">
        <v>70</v>
      </c>
      <c r="G21" s="7">
        <f>D21*AHP!$B$29+E21*AHP!$B$30+F21*AHP!$B$31</f>
        <v>44.286666666666669</v>
      </c>
      <c r="H21" s="8" t="str">
        <f>IFERROR(INDEX(Koordinat!$B:$B,MATCH($K21,Koordinat!$A:$A,0)),"")</f>
        <v>110.3664958</v>
      </c>
      <c r="I21" s="8" t="str">
        <f>IFERROR(INDEX(Koordinat!$C:$C,MATCH($K21,Koordinat!$A:$A,0)),"")</f>
        <v>-7.777833012</v>
      </c>
      <c r="J21" s="6" t="str" cm="1">
        <f t="array" ref="J21">_xlfn.IFS(G21&lt;=20,"Sangat Rendah",G21&lt;=40,"Rendah",G21&lt;=60,"Sedang",G21&lt;=80,"Tinggi",G21&lt;=100,"Sangat Tinggi")</f>
        <v>Sedang</v>
      </c>
      <c r="K21" s="6" t="str">
        <f t="shared" si="1"/>
        <v>Halte Portabel Trans Jogja</v>
      </c>
    </row>
    <row r="22" spans="1:11" x14ac:dyDescent="0.35">
      <c r="A22" s="6">
        <f t="shared" si="0"/>
        <v>21</v>
      </c>
      <c r="B22" s="6" t="s">
        <v>32</v>
      </c>
      <c r="C22" s="6" t="s">
        <v>11</v>
      </c>
      <c r="D22" s="6">
        <v>39.9</v>
      </c>
      <c r="E22" s="6">
        <v>25</v>
      </c>
      <c r="F22" s="6">
        <v>70</v>
      </c>
      <c r="G22" s="7">
        <f>D22*AHP!$B$29+E22*AHP!$B$30+F22*AHP!$B$31</f>
        <v>42.875555555555557</v>
      </c>
      <c r="H22" s="8" t="str">
        <f>IFERROR(INDEX(Koordinat!$B:$B,MATCH($K22,Koordinat!$A:$A,0)),"")</f>
        <v>110.3933546</v>
      </c>
      <c r="I22" s="8" t="str">
        <f>IFERROR(INDEX(Koordinat!$C:$C,MATCH($K22,Koordinat!$A:$A,0)),"")</f>
        <v>-7.802256588</v>
      </c>
      <c r="J22" s="6" t="str" cm="1">
        <f t="array" ref="J22">_xlfn.IFS(G22&lt;=20,"Sangat Rendah",G22&lt;=40,"Rendah",G22&lt;=60,"Sedang",G22&lt;=80,"Tinggi",G22&lt;=100,"Sangat Tinggi")</f>
        <v>Sedang</v>
      </c>
      <c r="K22" s="6" t="str">
        <f t="shared" si="1"/>
        <v>Halte Kusumanegara 4 di Depan Kantor Kementrian Agraria dan Tata Ruang / Badan Pertahanan Nasional Jogja</v>
      </c>
    </row>
    <row r="23" spans="1:11" x14ac:dyDescent="0.35">
      <c r="A23" s="6">
        <f t="shared" si="0"/>
        <v>22</v>
      </c>
      <c r="B23" s="6" t="s">
        <v>33</v>
      </c>
      <c r="C23" s="6" t="s">
        <v>11</v>
      </c>
      <c r="D23" s="6">
        <v>34.799999999999997</v>
      </c>
      <c r="E23" s="6">
        <v>25</v>
      </c>
      <c r="F23" s="6">
        <v>70</v>
      </c>
      <c r="G23" s="7">
        <f>D23*AHP!$B$29+E23*AHP!$B$30+F23*AHP!$B$31</f>
        <v>40.778888888888886</v>
      </c>
      <c r="H23" s="8" t="str">
        <f>IFERROR(INDEX(Koordinat!$B:$B,MATCH($K23,Koordinat!$A:$A,0)),"")</f>
        <v>110.3883905</v>
      </c>
      <c r="I23" s="8" t="str">
        <f>IFERROR(INDEX(Koordinat!$C:$C,MATCH($K23,Koordinat!$A:$A,0)),"")</f>
        <v>-7.805580688</v>
      </c>
      <c r="J23" s="6" t="str" cm="1">
        <f t="array" ref="J23">_xlfn.IFS(G23&lt;=20,"Sangat Rendah",G23&lt;=40,"Rendah",G23&lt;=60,"Sedang",G23&lt;=80,"Tinggi",G23&lt;=100,"Sangat Tinggi")</f>
        <v>Sedang</v>
      </c>
      <c r="K23" s="6" t="str">
        <f t="shared" si="1"/>
        <v>Halte Portable UTY di Depan Kebab Nime didekat Pegadaian</v>
      </c>
    </row>
    <row r="24" spans="1:11" x14ac:dyDescent="0.35">
      <c r="A24" s="6">
        <f t="shared" si="0"/>
        <v>23</v>
      </c>
      <c r="B24" s="6" t="s">
        <v>34</v>
      </c>
      <c r="C24" s="6" t="s">
        <v>11</v>
      </c>
      <c r="D24" s="6">
        <v>48.6</v>
      </c>
      <c r="E24" s="6">
        <v>37.5</v>
      </c>
      <c r="F24" s="6">
        <v>30</v>
      </c>
      <c r="G24" s="7">
        <f>D24*AHP!$B$29+E24*AHP!$B$30+F24*AHP!$B$31</f>
        <v>40.105000000000004</v>
      </c>
      <c r="H24" s="8" t="str">
        <f>IFERROR(INDEX(Koordinat!$B:$B,MATCH($K24,Koordinat!$A:$A,0)),"")</f>
        <v>110.356361</v>
      </c>
      <c r="I24" s="8" t="str">
        <f>IFERROR(INDEX(Koordinat!$C:$C,MATCH($K24,Koordinat!$A:$A,0)),"")</f>
        <v>-7.803703088</v>
      </c>
      <c r="J24" s="6" t="str" cm="1">
        <f t="array" ref="J24">_xlfn.IFS(G24&lt;=20,"Sangat Rendah",G24&lt;=40,"Rendah",G24&lt;=60,"Sedang",G24&lt;=80,"Tinggi",G24&lt;=100,"Sangat Tinggi")</f>
        <v>Sedang</v>
      </c>
      <c r="K24" s="6" t="str">
        <f t="shared" si="1"/>
        <v>Halte Ngabean di Dalam Area Parkir Ngabean</v>
      </c>
    </row>
    <row r="25" spans="1:11" x14ac:dyDescent="0.35">
      <c r="A25" s="6">
        <f t="shared" si="0"/>
        <v>24</v>
      </c>
      <c r="B25" s="6" t="s">
        <v>35</v>
      </c>
      <c r="C25" s="6" t="s">
        <v>11</v>
      </c>
      <c r="D25" s="6">
        <v>58</v>
      </c>
      <c r="E25" s="6">
        <v>25</v>
      </c>
      <c r="F25" s="6">
        <v>30</v>
      </c>
      <c r="G25" s="7">
        <f>D25*AHP!$B$29+E25*AHP!$B$30+F25*AHP!$B$31</f>
        <v>39.872222222222227</v>
      </c>
      <c r="H25" s="8" t="str">
        <f>IFERROR(INDEX(Koordinat!$B:$B,MATCH($K25,Koordinat!$A:$A,0)),"")</f>
        <v>110.3757321</v>
      </c>
      <c r="I25" s="8" t="str">
        <f>IFERROR(INDEX(Koordinat!$C:$C,MATCH($K25,Koordinat!$A:$A,0)),"")</f>
        <v>-7.801687288</v>
      </c>
      <c r="J25" s="6" t="str" cm="1">
        <f t="array" ref="J25">_xlfn.IFS(G25&lt;=20,"Sangat Rendah",G25&lt;=40,"Rendah",G25&lt;=60,"Sedang",G25&lt;=80,"Tinggi",G25&lt;=100,"Sangat Tinggi")</f>
        <v>Rendah</v>
      </c>
      <c r="K25" s="6" t="str">
        <f t="shared" si="1"/>
        <v>Halte Pakualaman di Jalan Sultan Agung Dekat Toko Jogja Kampus</v>
      </c>
    </row>
    <row r="26" spans="1:11" x14ac:dyDescent="0.35">
      <c r="A26" s="6">
        <f t="shared" si="0"/>
        <v>25</v>
      </c>
      <c r="B26" s="6" t="s">
        <v>36</v>
      </c>
      <c r="C26" s="6" t="s">
        <v>11</v>
      </c>
      <c r="D26" s="6">
        <v>39.9</v>
      </c>
      <c r="E26" s="6">
        <v>25</v>
      </c>
      <c r="F26" s="6">
        <v>54</v>
      </c>
      <c r="G26" s="7">
        <f>D26*AHP!$B$29+E26*AHP!$B$30+F26*AHP!$B$31</f>
        <v>38.69777777777778</v>
      </c>
      <c r="H26" s="8" t="str">
        <f>IFERROR(INDEX(Koordinat!$B:$B,MATCH($K26,Koordinat!$A:$A,0)),"")</f>
        <v>110.3701451</v>
      </c>
      <c r="I26" s="8" t="str">
        <f>IFERROR(INDEX(Koordinat!$C:$C,MATCH($K26,Koordinat!$A:$A,0)),"")</f>
        <v>-7.814858788</v>
      </c>
      <c r="J26" s="6" t="str" cm="1">
        <f t="array" ref="J26">_xlfn.IFS(G26&lt;=20,"Sangat Rendah",G26&lt;=40,"Rendah",G26&lt;=60,"Sedang",G26&lt;=80,"Tinggi",G26&lt;=100,"Sangat Tinggi")</f>
        <v>Rendah</v>
      </c>
      <c r="K26" s="6" t="str">
        <f t="shared" si="1"/>
        <v>Halte Ngabean (Dana Keistemewaan) di Jalan Kolonel Sugiyono di Samping Gang Kampung Pujokusuman</v>
      </c>
    </row>
    <row r="27" spans="1:11" x14ac:dyDescent="0.35">
      <c r="A27" s="6">
        <f t="shared" si="0"/>
        <v>26</v>
      </c>
      <c r="B27" s="6" t="s">
        <v>37</v>
      </c>
      <c r="C27" s="6" t="s">
        <v>11</v>
      </c>
      <c r="D27" s="6">
        <v>66.7</v>
      </c>
      <c r="E27" s="6">
        <v>25.5</v>
      </c>
      <c r="F27" s="6">
        <v>6</v>
      </c>
      <c r="G27" s="7">
        <f>D27*AHP!$B$29+E27*AHP!$B$30+F27*AHP!$B$31</f>
        <v>37.346111111111121</v>
      </c>
      <c r="H27" s="8" t="str">
        <f>IFERROR(INDEX(Koordinat!$B:$B,MATCH($K27,Koordinat!$A:$A,0)),"")</f>
        <v>110.3615118</v>
      </c>
      <c r="I27" s="8" t="str">
        <f>IFERROR(INDEX(Koordinat!$C:$C,MATCH($K27,Koordinat!$A:$A,0)),"")</f>
        <v>-7.792450662</v>
      </c>
      <c r="J27" s="6" t="str" cm="1">
        <f t="array" ref="J27">_xlfn.IFS(G27&lt;=20,"Sangat Rendah",G27&lt;=40,"Rendah",G27&lt;=60,"Sedang",G27&lt;=80,"Tinggi",G27&lt;=100,"Sangat Tinggi")</f>
        <v>Rendah</v>
      </c>
      <c r="K27" s="6" t="str">
        <f t="shared" si="1"/>
        <v>Halte Sosrowijayan di Jl. Gandekan</v>
      </c>
    </row>
    <row r="28" spans="1:11" x14ac:dyDescent="0.35">
      <c r="A28" s="6">
        <f t="shared" si="0"/>
        <v>27</v>
      </c>
      <c r="B28" s="6" t="s">
        <v>38</v>
      </c>
      <c r="C28" s="6" t="s">
        <v>14</v>
      </c>
      <c r="D28" s="6">
        <v>56.5</v>
      </c>
      <c r="E28" s="6">
        <v>26.5</v>
      </c>
      <c r="F28" s="6">
        <v>18</v>
      </c>
      <c r="G28" s="7">
        <f>D28*AHP!$B$29+E28*AHP!$B$30+F28*AHP!$B$31</f>
        <v>36.613888888888894</v>
      </c>
      <c r="H28" s="8" t="str">
        <f>IFERROR(INDEX(Koordinat!$B:$B,MATCH($K28,Koordinat!$A:$A,0)),"")</f>
        <v>110.3665165</v>
      </c>
      <c r="I28" s="8" t="str">
        <f>IFERROR(INDEX(Koordinat!$C:$C,MATCH($K28,Koordinat!$A:$A,0)),"")</f>
        <v>-7.787650231</v>
      </c>
      <c r="J28" s="6" t="str" cm="1">
        <f t="array" ref="J28">_xlfn.IFS(G28&lt;=20,"Sangat Rendah",G28&lt;=40,"Rendah",G28&lt;=60,"Sedang",G28&lt;=80,"Tinggi",G28&lt;=100,"Sangat Tinggi")</f>
        <v>Rendah</v>
      </c>
      <c r="K28" s="6" t="str">
        <f t="shared" si="1"/>
        <v>Halte TJ Mangkubumi 2</v>
      </c>
    </row>
    <row r="29" spans="1:11" x14ac:dyDescent="0.35">
      <c r="A29" s="6">
        <f t="shared" si="0"/>
        <v>28</v>
      </c>
      <c r="B29" s="6" t="s">
        <v>39</v>
      </c>
      <c r="C29" s="6" t="s">
        <v>14</v>
      </c>
      <c r="D29" s="6">
        <v>25.4</v>
      </c>
      <c r="E29" s="6">
        <v>13.5</v>
      </c>
      <c r="F29" s="6">
        <v>82</v>
      </c>
      <c r="G29" s="7">
        <f>D29*AHP!$B$29+E29*AHP!$B$30+F29*AHP!$B$31</f>
        <v>36.278333333333336</v>
      </c>
      <c r="H29" s="8" t="str">
        <f>IFERROR(INDEX(Koordinat!$B:$B,MATCH($K29,Koordinat!$A:$A,0)),"")</f>
        <v>110.3949562</v>
      </c>
      <c r="I29" s="8" t="str">
        <f>IFERROR(INDEX(Koordinat!$C:$C,MATCH($K29,Koordinat!$A:$A,0)),"")</f>
        <v>-7.819134048</v>
      </c>
      <c r="J29" s="6" t="str" cm="1">
        <f t="array" ref="J29">_xlfn.IFS(G29&lt;=20,"Sangat Rendah",G29&lt;=40,"Rendah",G29&lt;=60,"Sedang",G29&lt;=80,"Tinggi",G29&lt;=100,"Sangat Tinggi")</f>
        <v>Rendah</v>
      </c>
      <c r="K29" s="6" t="str">
        <f t="shared" si="1"/>
        <v>Halte Ngeksigondo (Basen) di Depan Kantor Balai Pengembangan Kompetensi dan Wisma</v>
      </c>
    </row>
    <row r="30" spans="1:11" x14ac:dyDescent="0.35">
      <c r="A30" s="6">
        <f t="shared" si="0"/>
        <v>29</v>
      </c>
      <c r="B30" s="6" t="s">
        <v>40</v>
      </c>
      <c r="C30" s="6" t="s">
        <v>41</v>
      </c>
      <c r="D30" s="6">
        <v>68.8</v>
      </c>
      <c r="E30" s="6">
        <v>0</v>
      </c>
      <c r="F30" s="6">
        <v>30</v>
      </c>
      <c r="G30" s="7">
        <f>D30*AHP!$B$29+E30*AHP!$B$30+F30*AHP!$B$31</f>
        <v>36.117777777777782</v>
      </c>
      <c r="H30" s="8" t="str">
        <f>IFERROR(INDEX(Koordinat!$B:$B,MATCH($K30,Koordinat!$A:$A,0)),"")</f>
        <v>110.375182</v>
      </c>
      <c r="I30" s="8" t="str">
        <f>IFERROR(INDEX(Koordinat!$C:$C,MATCH($K30,Koordinat!$A:$A,0)),"")</f>
        <v>-7.78119793</v>
      </c>
      <c r="J30" s="6" t="str" cm="1">
        <f t="array" ref="J30">_xlfn.IFS(G30&lt;=20,"Sangat Rendah",G30&lt;=40,"Rendah",G30&lt;=60,"Sedang",G30&lt;=80,"Tinggi",G30&lt;=100,"Sangat Tinggi")</f>
        <v>Rendah</v>
      </c>
      <c r="K30" s="6" t="str">
        <f t="shared" si="1"/>
        <v>HALTE TJ CIK DI TIRO 2</v>
      </c>
    </row>
    <row r="31" spans="1:11" x14ac:dyDescent="0.35">
      <c r="A31" s="6">
        <f t="shared" si="0"/>
        <v>30</v>
      </c>
      <c r="B31" s="6" t="s">
        <v>42</v>
      </c>
      <c r="C31" s="6" t="s">
        <v>11</v>
      </c>
      <c r="D31" s="6">
        <v>38.4</v>
      </c>
      <c r="E31" s="6">
        <v>25</v>
      </c>
      <c r="F31" s="6">
        <v>42</v>
      </c>
      <c r="G31" s="7">
        <f>D31*AHP!$B$29+E31*AHP!$B$30+F31*AHP!$B$31</f>
        <v>34.94777777777778</v>
      </c>
      <c r="H31" s="8" t="str">
        <f>IFERROR(INDEX(Koordinat!$B:$B,MATCH($K31,Koordinat!$A:$A,0)),"")</f>
        <v>110.3717979</v>
      </c>
      <c r="I31" s="8" t="str">
        <f>IFERROR(INDEX(Koordinat!$C:$C,MATCH($K31,Koordinat!$A:$A,0)),"")</f>
        <v>-7.815159263</v>
      </c>
      <c r="J31" s="6" t="str" cm="1">
        <f t="array" ref="J31">_xlfn.IFS(G31&lt;=20,"Sangat Rendah",G31&lt;=40,"Rendah",G31&lt;=60,"Sedang",G31&lt;=80,"Tinggi",G31&lt;=100,"Sangat Tinggi")</f>
        <v>Rendah</v>
      </c>
      <c r="K31" s="6" t="str">
        <f t="shared" si="1"/>
        <v>Halte Kolonel Sugiono atau Museum Perjuangan di Samping Masjid Baiturrahim</v>
      </c>
    </row>
    <row r="32" spans="1:11" x14ac:dyDescent="0.35">
      <c r="A32" s="6">
        <f t="shared" si="0"/>
        <v>33</v>
      </c>
      <c r="B32" s="6" t="s">
        <v>43</v>
      </c>
      <c r="C32" s="6" t="s">
        <v>14</v>
      </c>
      <c r="D32" s="6">
        <v>20.3</v>
      </c>
      <c r="E32" s="6">
        <v>50.5</v>
      </c>
      <c r="F32" s="6">
        <v>30</v>
      </c>
      <c r="G32" s="7">
        <f>D32*AHP!$B$29+E32*AHP!$B$30+F32*AHP!$B$31</f>
        <v>32.731666666666669</v>
      </c>
      <c r="H32" s="8" t="str">
        <f>IFERROR(INDEX(Koordinat!$B:$B,MATCH($K32,Koordinat!$A:$A,0)),"")</f>
        <v>110.3913245</v>
      </c>
      <c r="I32" s="8" t="str">
        <f>IFERROR(INDEX(Koordinat!$C:$C,MATCH($K32,Koordinat!$A:$A,0)),"")</f>
        <v>-7.825830131</v>
      </c>
      <c r="J32" s="6" t="str" cm="1">
        <f t="array" ref="J32">_xlfn.IFS(G32&lt;=20,"Sangat Rendah",G32&lt;=40,"Rendah",G32&lt;=60,"Sedang",G32&lt;=80,"Tinggi",G32&lt;=100,"Sangat Tinggi")</f>
        <v>Rendah</v>
      </c>
      <c r="K32" s="6" t="str">
        <f t="shared" si="1"/>
        <v>Halte Tegal Gendu 2</v>
      </c>
    </row>
    <row r="33" spans="1:11" x14ac:dyDescent="0.35">
      <c r="A33" s="6">
        <f t="shared" si="0"/>
        <v>32</v>
      </c>
      <c r="B33" s="6" t="s">
        <v>44</v>
      </c>
      <c r="C33" s="6" t="s">
        <v>11</v>
      </c>
      <c r="D33" s="6">
        <v>41.3</v>
      </c>
      <c r="E33" s="6">
        <v>25</v>
      </c>
      <c r="F33" s="6">
        <v>30</v>
      </c>
      <c r="G33" s="7">
        <f>D33*AHP!$B$29+E33*AHP!$B$30+F33*AHP!$B$31</f>
        <v>33.006666666666668</v>
      </c>
      <c r="H33" s="8" t="str">
        <f>IFERROR(INDEX(Koordinat!$B:$B,MATCH($K33,Koordinat!$A:$A,0)),"")</f>
        <v>110.3573861</v>
      </c>
      <c r="I33" s="8" t="str">
        <f>IFERROR(INDEX(Koordinat!$C:$C,MATCH($K33,Koordinat!$A:$A,0)),"")</f>
        <v>-7.813175088</v>
      </c>
      <c r="J33" s="6" t="str" cm="1">
        <f t="array" ref="J33">_xlfn.IFS(G33&lt;=20,"Sangat Rendah",G33&lt;=40,"Rendah",G33&lt;=60,"Sedang",G33&lt;=80,"Tinggi",G33&lt;=100,"Sangat Tinggi")</f>
        <v>Rendah</v>
      </c>
      <c r="K33" s="6" t="str">
        <f t="shared" si="1"/>
        <v>Halte Jokteng Kulon di Depan Medi Farma</v>
      </c>
    </row>
    <row r="34" spans="1:11" x14ac:dyDescent="0.35">
      <c r="A34" s="6">
        <f t="shared" ref="A34:A65" si="2">RANK(G34,$G$2:$G$74,0)</f>
        <v>31</v>
      </c>
      <c r="B34" s="6" t="s">
        <v>45</v>
      </c>
      <c r="C34" s="6" t="s">
        <v>11</v>
      </c>
      <c r="D34" s="6">
        <v>37</v>
      </c>
      <c r="E34" s="6">
        <v>1</v>
      </c>
      <c r="F34" s="6">
        <v>70</v>
      </c>
      <c r="G34" s="7">
        <f>D34*AHP!$B$29+E34*AHP!$B$30+F34*AHP!$B$31</f>
        <v>33.81666666666667</v>
      </c>
      <c r="H34" s="8" t="str">
        <f>IFERROR(INDEX(Koordinat!$B:$B,MATCH($K34,Koordinat!$A:$A,0)),"")</f>
        <v>110.3781961</v>
      </c>
      <c r="I34" s="8" t="str">
        <f>IFERROR(INDEX(Koordinat!$C:$C,MATCH($K34,Koordinat!$A:$A,0)),"")</f>
        <v>-7.804210588</v>
      </c>
      <c r="J34" s="6" t="str" cm="1">
        <f t="array" ref="J34">_xlfn.IFS(G34&lt;=20,"Sangat Rendah",G34&lt;=40,"Rendah",G34&lt;=60,"Sedang",G34&lt;=80,"Tinggi",G34&lt;=100,"Sangat Tinggi")</f>
        <v>Rendah</v>
      </c>
      <c r="K34" s="6" t="str">
        <f t="shared" ref="K34:K65" si="3">TRIM(B34)</f>
        <v>Halte Portable Wirogunan di Depan KANWIL DITJENPAS DIY</v>
      </c>
    </row>
    <row r="35" spans="1:11" x14ac:dyDescent="0.35">
      <c r="A35" s="6">
        <f t="shared" si="2"/>
        <v>34</v>
      </c>
      <c r="B35" s="6" t="s">
        <v>46</v>
      </c>
      <c r="C35" s="6" t="s">
        <v>11</v>
      </c>
      <c r="D35" s="6">
        <v>23.9</v>
      </c>
      <c r="E35" s="6">
        <v>13</v>
      </c>
      <c r="F35" s="6">
        <v>70</v>
      </c>
      <c r="G35" s="7">
        <f>D35*AHP!$B$29+E35*AHP!$B$30+F35*AHP!$B$31</f>
        <v>32.364444444444445</v>
      </c>
      <c r="H35" s="8" t="str">
        <f>IFERROR(INDEX(Koordinat!$B:$B,MATCH($K35,Koordinat!$A:$A,0)),"")</f>
        <v>110.3769565</v>
      </c>
      <c r="I35" s="8" t="str">
        <f>IFERROR(INDEX(Koordinat!$C:$C,MATCH($K35,Koordinat!$A:$A,0)),"")</f>
        <v>-7.810990188</v>
      </c>
      <c r="J35" s="6" t="str" cm="1">
        <f t="array" ref="J35">_xlfn.IFS(G35&lt;=20,"Sangat Rendah",G35&lt;=40,"Rendah",G35&lt;=60,"Sedang",G35&lt;=80,"Tinggi",G35&lt;=100,"Sangat Tinggi")</f>
        <v>Rendah</v>
      </c>
      <c r="K35" s="6" t="str">
        <f t="shared" si="3"/>
        <v>Halte Portable Taman Siswa didepan Masjid Al Jihad</v>
      </c>
    </row>
    <row r="36" spans="1:11" x14ac:dyDescent="0.35">
      <c r="A36" s="6">
        <f t="shared" si="2"/>
        <v>35</v>
      </c>
      <c r="B36" s="6" t="s">
        <v>47</v>
      </c>
      <c r="C36" s="6" t="s">
        <v>11</v>
      </c>
      <c r="D36" s="6">
        <v>48.6</v>
      </c>
      <c r="E36" s="6">
        <v>12.5</v>
      </c>
      <c r="F36" s="6">
        <v>30</v>
      </c>
      <c r="G36" s="7">
        <f>D36*AHP!$B$29+E36*AHP!$B$30+F36*AHP!$B$31</f>
        <v>31.910555555555561</v>
      </c>
      <c r="H36" s="8" t="str">
        <f>IFERROR(INDEX(Koordinat!$B:$B,MATCH($K36,Koordinat!$A:$A,0)),"")</f>
        <v>110.3563589</v>
      </c>
      <c r="I36" s="8" t="str">
        <f>IFERROR(INDEX(Koordinat!$C:$C,MATCH($K36,Koordinat!$A:$A,0)),"")</f>
        <v>-7.8037059</v>
      </c>
      <c r="J36" s="6" t="str" cm="1">
        <f t="array" ref="J36">_xlfn.IFS(G36&lt;=20,"Sangat Rendah",G36&lt;=40,"Rendah",G36&lt;=60,"Sedang",G36&lt;=80,"Tinggi",G36&lt;=100,"Sangat Tinggi")</f>
        <v>Rendah</v>
      </c>
      <c r="K36" s="6" t="str">
        <f t="shared" si="3"/>
        <v>Halte Terminal Ngabean di Depan Area Parkir Ngabean</v>
      </c>
    </row>
    <row r="37" spans="1:11" x14ac:dyDescent="0.35">
      <c r="A37" s="6">
        <f t="shared" si="2"/>
        <v>37</v>
      </c>
      <c r="B37" s="6" t="s">
        <v>48</v>
      </c>
      <c r="C37" s="6" t="s">
        <v>14</v>
      </c>
      <c r="D37" s="6">
        <v>18.8</v>
      </c>
      <c r="E37" s="6">
        <v>37.5</v>
      </c>
      <c r="F37" s="6">
        <v>42</v>
      </c>
      <c r="G37" s="7">
        <f>D37*AHP!$B$29+E37*AHP!$B$30+F37*AHP!$B$31</f>
        <v>30.987222222222222</v>
      </c>
      <c r="H37" s="8" t="str">
        <f>IFERROR(INDEX(Koordinat!$B:$B,MATCH($K37,Koordinat!$A:$A,0)),"")</f>
        <v>110.4010909</v>
      </c>
      <c r="I37" s="8" t="str">
        <f>IFERROR(INDEX(Koordinat!$C:$C,MATCH($K37,Koordinat!$A:$A,0)),"")</f>
        <v>-7.819606651</v>
      </c>
      <c r="J37" s="6" t="str" cm="1">
        <f t="array" ref="J37">_xlfn.IFS(G37&lt;=20,"Sangat Rendah",G37&lt;=40,"Rendah",G37&lt;=60,"Sedang",G37&lt;=80,"Tinggi",G37&lt;=100,"Sangat Tinggi")</f>
        <v>Rendah</v>
      </c>
      <c r="K37" s="6" t="str">
        <f t="shared" si="3"/>
        <v>Halte Gedong Kuning di Depan Kehutanan, Balai Daerah Aliran Sungai Serayu Opak Progo</v>
      </c>
    </row>
    <row r="38" spans="1:11" x14ac:dyDescent="0.35">
      <c r="A38" s="6">
        <f t="shared" si="2"/>
        <v>36</v>
      </c>
      <c r="B38" s="6" t="s">
        <v>49</v>
      </c>
      <c r="C38" s="6" t="s">
        <v>14</v>
      </c>
      <c r="D38" s="6">
        <v>30.4</v>
      </c>
      <c r="E38" s="6">
        <v>13.5</v>
      </c>
      <c r="F38" s="6">
        <v>54</v>
      </c>
      <c r="G38" s="7">
        <f>D38*AHP!$B$29+E38*AHP!$B$30+F38*AHP!$B$31</f>
        <v>31.02277777777778</v>
      </c>
      <c r="H38" s="8" t="str">
        <f>IFERROR(INDEX(Koordinat!$B:$B,MATCH($K38,Koordinat!$A:$A,0)),"")</f>
        <v>110.3680087</v>
      </c>
      <c r="I38" s="8" t="str">
        <f>IFERROR(INDEX(Koordinat!$C:$C,MATCH($K38,Koordinat!$A:$A,0)),"")</f>
        <v>-7.775795579</v>
      </c>
      <c r="J38" s="6" t="str" cm="1">
        <f t="array" ref="J38">_xlfn.IFS(G38&lt;=20,"Sangat Rendah",G38&lt;=40,"Rendah",G38&lt;=60,"Sedang",G38&lt;=80,"Tinggi",G38&lt;=100,"Sangat Tinggi")</f>
        <v>Rendah</v>
      </c>
      <c r="K38" s="6" t="str">
        <f t="shared" si="3"/>
        <v>Halte Susteran Jetis (A.M. Sangaji Timur)</v>
      </c>
    </row>
    <row r="39" spans="1:11" x14ac:dyDescent="0.35">
      <c r="A39" s="6">
        <f t="shared" si="2"/>
        <v>38</v>
      </c>
      <c r="B39" s="6" t="s">
        <v>50</v>
      </c>
      <c r="C39" s="6" t="s">
        <v>41</v>
      </c>
      <c r="D39" s="6">
        <v>55.8</v>
      </c>
      <c r="E39" s="6">
        <v>0</v>
      </c>
      <c r="F39" s="6">
        <v>30</v>
      </c>
      <c r="G39" s="7">
        <f>D39*AHP!$B$29+E39*AHP!$B$30+F39*AHP!$B$31</f>
        <v>30.773333333333333</v>
      </c>
      <c r="H39" s="8" t="str">
        <f>IFERROR(INDEX(Koordinat!$B:$B,MATCH($K39,Koordinat!$A:$A,0)),"")</f>
        <v>110.3752707</v>
      </c>
      <c r="I39" s="8" t="str">
        <f>IFERROR(INDEX(Koordinat!$C:$C,MATCH($K39,Koordinat!$A:$A,0)),"")</f>
        <v>-7.7871872</v>
      </c>
      <c r="J39" s="6" t="str" cm="1">
        <f t="array" ref="J39">_xlfn.IFS(G39&lt;=20,"Sangat Rendah",G39&lt;=40,"Rendah",G39&lt;=60,"Sedang",G39&lt;=80,"Tinggi",G39&lt;=100,"Sangat Tinggi")</f>
        <v>Rendah</v>
      </c>
      <c r="K39" s="6" t="str">
        <f t="shared" si="3"/>
        <v>HALTE TJ SMPN 5 YOGYAKARTA</v>
      </c>
    </row>
    <row r="40" spans="1:11" x14ac:dyDescent="0.35">
      <c r="A40" s="6">
        <f t="shared" si="2"/>
        <v>41</v>
      </c>
      <c r="B40" s="6" t="s">
        <v>51</v>
      </c>
      <c r="C40" s="6" t="s">
        <v>14</v>
      </c>
      <c r="D40" s="6">
        <v>5.0999999999999996</v>
      </c>
      <c r="E40" s="6">
        <v>37.5</v>
      </c>
      <c r="F40" s="6">
        <v>54</v>
      </c>
      <c r="G40" s="7">
        <f>D40*AHP!$B$29+E40*AHP!$B$30+F40*AHP!$B$31</f>
        <v>28.488333333333333</v>
      </c>
      <c r="H40" s="8" t="str">
        <f>IFERROR(INDEX(Koordinat!$B:$B,MATCH($K40,Koordinat!$A:$A,0)),"")</f>
        <v>110.3791759</v>
      </c>
      <c r="I40" s="8" t="str">
        <f>IFERROR(INDEX(Koordinat!$C:$C,MATCH($K40,Koordinat!$A:$A,0)),"")</f>
        <v>-7.824734488</v>
      </c>
      <c r="J40" s="6" t="str" cm="1">
        <f t="array" ref="J40">_xlfn.IFS(G40&lt;=20,"Sangat Rendah",G40&lt;=40,"Rendah",G40&lt;=60,"Sedang",G40&lt;=80,"Tinggi",G40&lt;=100,"Sangat Tinggi")</f>
        <v>Rendah</v>
      </c>
      <c r="K40" s="6" t="str">
        <f t="shared" si="3"/>
        <v>TPB Sorogenen (Wirosaban) di Depan Ruko</v>
      </c>
    </row>
    <row r="41" spans="1:11" x14ac:dyDescent="0.35">
      <c r="A41" s="6">
        <f t="shared" si="2"/>
        <v>40</v>
      </c>
      <c r="B41" s="6" t="s">
        <v>52</v>
      </c>
      <c r="C41" s="6" t="s">
        <v>41</v>
      </c>
      <c r="D41" s="6">
        <v>51.4</v>
      </c>
      <c r="E41" s="6">
        <v>0</v>
      </c>
      <c r="F41" s="6">
        <v>30</v>
      </c>
      <c r="G41" s="7">
        <f>D41*AHP!$B$29+E41*AHP!$B$30+F41*AHP!$B$31</f>
        <v>28.964444444444446</v>
      </c>
      <c r="H41" s="8" t="str">
        <f>IFERROR(INDEX(Koordinat!$B:$B,MATCH($K41,Koordinat!$A:$A,0)),"")</f>
        <v>110.3778626</v>
      </c>
      <c r="I41" s="8" t="str">
        <f>IFERROR(INDEX(Koordinat!$C:$C,MATCH($K41,Koordinat!$A:$A,0)),"")</f>
        <v>-7.783064173</v>
      </c>
      <c r="J41" s="6" t="str" cm="1">
        <f t="array" ref="J41">_xlfn.IFS(G41&lt;=20,"Sangat Rendah",G41&lt;=40,"Rendah",G41&lt;=60,"Sedang",G41&lt;=80,"Tinggi",G41&lt;=100,"Sangat Tinggi")</f>
        <v>Rendah</v>
      </c>
      <c r="K41" s="6" t="str">
        <f t="shared" si="3"/>
        <v>HALTE SUDIRMAN BETHESDA</v>
      </c>
    </row>
    <row r="42" spans="1:11" x14ac:dyDescent="0.35">
      <c r="A42" s="6">
        <f t="shared" si="2"/>
        <v>39</v>
      </c>
      <c r="B42" s="6" t="s">
        <v>53</v>
      </c>
      <c r="C42" s="6" t="s">
        <v>14</v>
      </c>
      <c r="D42" s="6">
        <v>26.1</v>
      </c>
      <c r="E42" s="6">
        <v>0</v>
      </c>
      <c r="F42" s="6">
        <v>70</v>
      </c>
      <c r="G42" s="7">
        <f>D42*AHP!$B$29+E42*AHP!$B$30+F42*AHP!$B$31</f>
        <v>29.007777777777783</v>
      </c>
      <c r="H42" s="8" t="str">
        <f>IFERROR(INDEX(Koordinat!$B:$B,MATCH($K42,Koordinat!$A:$A,0)),"")</f>
        <v>110.3963574</v>
      </c>
      <c r="I42" s="8" t="str">
        <f>IFERROR(INDEX(Koordinat!$C:$C,MATCH($K42,Koordinat!$A:$A,0)),"")</f>
        <v>-7.822362551</v>
      </c>
      <c r="J42" s="6" t="str" cm="1">
        <f t="array" ref="J42">_xlfn.IFS(G42&lt;=20,"Sangat Rendah",G42&lt;=40,"Rendah",G42&lt;=60,"Sedang",G42&lt;=80,"Tinggi",G42&lt;=100,"Sangat Tinggi")</f>
        <v>Rendah</v>
      </c>
      <c r="K42" s="6" t="str">
        <f t="shared" si="3"/>
        <v>TPB Lapangan Karang Kota Gede di Depan Taman Karang dan Lapangan Karang</v>
      </c>
    </row>
    <row r="43" spans="1:11" x14ac:dyDescent="0.35">
      <c r="A43" s="6">
        <f t="shared" si="2"/>
        <v>42</v>
      </c>
      <c r="B43" s="6" t="s">
        <v>54</v>
      </c>
      <c r="C43" s="6" t="s">
        <v>11</v>
      </c>
      <c r="D43" s="6">
        <v>46.4</v>
      </c>
      <c r="E43" s="6">
        <v>13</v>
      </c>
      <c r="F43" s="6">
        <v>18</v>
      </c>
      <c r="G43" s="7">
        <f>D43*AHP!$B$29+E43*AHP!$B$30+F43*AHP!$B$31</f>
        <v>28.036666666666665</v>
      </c>
      <c r="H43" s="8" t="str">
        <f>IFERROR(INDEX(Koordinat!$B:$B,MATCH($K43,Koordinat!$A:$A,0)),"")</f>
        <v>110.3533742</v>
      </c>
      <c r="I43" s="8" t="str">
        <f>IFERROR(INDEX(Koordinat!$C:$C,MATCH($K43,Koordinat!$A:$A,0)),"")</f>
        <v>-7.793130551</v>
      </c>
      <c r="J43" s="6" t="str" cm="1">
        <f t="array" ref="J43">_xlfn.IFS(G43&lt;=20,"Sangat Rendah",G43&lt;=40,"Rendah",G43&lt;=60,"Sedang",G43&lt;=80,"Tinggi",G43&lt;=100,"Sangat Tinggi")</f>
        <v>Rendah</v>
      </c>
      <c r="K43" s="6" t="str">
        <f t="shared" si="3"/>
        <v>Halte SMPN11 di samping SMP N 11 Yogyakarta</v>
      </c>
    </row>
    <row r="44" spans="1:11" x14ac:dyDescent="0.35">
      <c r="A44" s="6">
        <f t="shared" si="2"/>
        <v>43</v>
      </c>
      <c r="B44" s="6" t="s">
        <v>55</v>
      </c>
      <c r="C44" s="6" t="s">
        <v>41</v>
      </c>
      <c r="D44" s="6">
        <v>29</v>
      </c>
      <c r="E44" s="6">
        <v>12.5</v>
      </c>
      <c r="F44" s="6">
        <v>42</v>
      </c>
      <c r="G44" s="7">
        <f>D44*AHP!$B$29+E44*AHP!$B$30+F44*AHP!$B$31</f>
        <v>26.986111111111114</v>
      </c>
      <c r="H44" s="8" t="str">
        <f>IFERROR(INDEX(Koordinat!$B:$B,MATCH($K44,Koordinat!$A:$A,0)),"")</f>
        <v>110.375734</v>
      </c>
      <c r="I44" s="8" t="str">
        <f>IFERROR(INDEX(Koordinat!$C:$C,MATCH($K44,Koordinat!$A:$A,0)),"")</f>
        <v>-7.777552952</v>
      </c>
      <c r="J44" s="6" t="str" cm="1">
        <f t="array" ref="J44">_xlfn.IFS(G44&lt;=20,"Sangat Rendah",G44&lt;=40,"Rendah",G44&lt;=60,"Sedang",G44&lt;=80,"Tinggi",G44&lt;=100,"Sangat Tinggi")</f>
        <v>Rendah</v>
      </c>
      <c r="K44" s="6" t="str">
        <f t="shared" si="3"/>
        <v>HALTE SMPN 1 YOGYAKARTA</v>
      </c>
    </row>
    <row r="45" spans="1:11" x14ac:dyDescent="0.35">
      <c r="A45" s="6">
        <f t="shared" si="2"/>
        <v>44</v>
      </c>
      <c r="B45" s="6" t="s">
        <v>56</v>
      </c>
      <c r="C45" s="6" t="s">
        <v>11</v>
      </c>
      <c r="D45" s="6">
        <v>13.8</v>
      </c>
      <c r="E45" s="6">
        <v>38</v>
      </c>
      <c r="F45" s="6">
        <v>30</v>
      </c>
      <c r="G45" s="7">
        <f>D45*AHP!$B$29+E45*AHP!$B$30+F45*AHP!$B$31</f>
        <v>25.962222222222223</v>
      </c>
      <c r="H45" s="8" t="str">
        <f>IFERROR(INDEX(Koordinat!$B:$B,MATCH($K45,Koordinat!$A:$A,0)),"")</f>
        <v>110.3819726</v>
      </c>
      <c r="I45" s="8" t="str">
        <f>IFERROR(INDEX(Koordinat!$C:$C,MATCH($K45,Koordinat!$A:$A,0)),"")</f>
        <v>-7.790566735</v>
      </c>
      <c r="J45" s="6" t="str" cm="1">
        <f t="array" ref="J45">_xlfn.IFS(G45&lt;=20,"Sangat Rendah",G45&lt;=40,"Rendah",G45&lt;=60,"Sedang",G45&lt;=80,"Tinggi",G45&lt;=100,"Sangat Tinggi")</f>
        <v>Rendah</v>
      </c>
      <c r="K45" s="6" t="str">
        <f t="shared" si="3"/>
        <v>TPB Tarumartani Selatan di Depan PT Taru Martani dan di Sebrang Balai KPH Yogyakarta</v>
      </c>
    </row>
    <row r="46" spans="1:11" x14ac:dyDescent="0.35">
      <c r="A46" s="6">
        <f t="shared" si="2"/>
        <v>45</v>
      </c>
      <c r="B46" s="6" t="s">
        <v>57</v>
      </c>
      <c r="C46" s="6" t="s">
        <v>11</v>
      </c>
      <c r="D46" s="6">
        <v>23.9</v>
      </c>
      <c r="E46" s="6">
        <v>1</v>
      </c>
      <c r="F46" s="6">
        <v>58</v>
      </c>
      <c r="G46" s="7">
        <f>D46*AHP!$B$29+E46*AHP!$B$30+F46*AHP!$B$31</f>
        <v>25.297777777777782</v>
      </c>
      <c r="H46" s="8" t="str">
        <f>IFERROR(INDEX(Koordinat!$B:$B,MATCH($K46,Koordinat!$A:$A,0)),"")</f>
        <v>110.3765</v>
      </c>
      <c r="I46" s="8" t="str">
        <f>IFERROR(INDEX(Koordinat!$C:$C,MATCH($K46,Koordinat!$A:$A,0)),"")</f>
        <v>-7.813660888</v>
      </c>
      <c r="J46" s="6" t="str" cm="1">
        <f t="array" ref="J46">_xlfn.IFS(G46&lt;=20,"Sangat Rendah",G46&lt;=40,"Rendah",G46&lt;=60,"Sedang",G46&lt;=80,"Tinggi",G46&lt;=100,"Sangat Tinggi")</f>
        <v>Rendah</v>
      </c>
      <c r="K46" s="6" t="str">
        <f t="shared" si="3"/>
        <v>Halte Taman Siswa di Dekat Lintau Fotocopy dan Print</v>
      </c>
    </row>
    <row r="47" spans="1:11" x14ac:dyDescent="0.35">
      <c r="A47" s="6">
        <f t="shared" si="2"/>
        <v>48</v>
      </c>
      <c r="B47" s="6" t="s">
        <v>58</v>
      </c>
      <c r="C47" s="6" t="s">
        <v>14</v>
      </c>
      <c r="D47" s="6">
        <v>6.5</v>
      </c>
      <c r="E47" s="6">
        <v>38</v>
      </c>
      <c r="F47" s="6">
        <v>30</v>
      </c>
      <c r="G47" s="7">
        <f>D47*AHP!$B$29+E47*AHP!$B$30+F47*AHP!$B$31</f>
        <v>22.961111111111112</v>
      </c>
      <c r="H47" s="8" t="str">
        <f>IFERROR(INDEX(Koordinat!$B:$B,MATCH($K47,Koordinat!$A:$A,0)),"")</f>
        <v>110.3900042</v>
      </c>
      <c r="I47" s="8" t="str">
        <f>IFERROR(INDEX(Koordinat!$C:$C,MATCH($K47,Koordinat!$A:$A,0)),"")</f>
        <v>-7.831737722</v>
      </c>
      <c r="J47" s="6" t="str" cm="1">
        <f t="array" ref="J47">_xlfn.IFS(G47&lt;=20,"Sangat Rendah",G47&lt;=40,"Rendah",G47&lt;=60,"Sedang",G47&lt;=80,"Tinggi",G47&lt;=100,"Sangat Tinggi")</f>
        <v>Rendah</v>
      </c>
      <c r="K47" s="6" t="str">
        <f t="shared" si="3"/>
        <v>TPB Pasar Giwangan 1 di Depan SMP &amp; SMK Berbudi</v>
      </c>
    </row>
    <row r="48" spans="1:11" x14ac:dyDescent="0.35">
      <c r="A48" s="6">
        <f t="shared" si="2"/>
        <v>46</v>
      </c>
      <c r="B48" s="6" t="s">
        <v>59</v>
      </c>
      <c r="C48" s="6" t="s">
        <v>11</v>
      </c>
      <c r="D48" s="6">
        <v>46.4</v>
      </c>
      <c r="E48" s="6">
        <v>1</v>
      </c>
      <c r="F48" s="6">
        <v>18</v>
      </c>
      <c r="G48" s="7">
        <f>D48*AHP!$B$29+E48*AHP!$B$30+F48*AHP!$B$31</f>
        <v>24.103333333333335</v>
      </c>
      <c r="H48" s="8" t="str">
        <f>IFERROR(INDEX(Koordinat!$B:$B,MATCH($K48,Koordinat!$A:$A,0)),"")</f>
        <v>110.3581612</v>
      </c>
      <c r="I48" s="8" t="str">
        <f>IFERROR(INDEX(Koordinat!$C:$C,MATCH($K48,Koordinat!$A:$A,0)),"")</f>
        <v>-7.813493488</v>
      </c>
      <c r="J48" s="6" t="str" cm="1">
        <f t="array" ref="J48">_xlfn.IFS(G48&lt;=20,"Sangat Rendah",G48&lt;=40,"Rendah",G48&lt;=60,"Sedang",G48&lt;=80,"Tinggi",G48&lt;=100,"Sangat Tinggi")</f>
        <v>Rendah</v>
      </c>
      <c r="K48" s="6" t="str">
        <f t="shared" si="3"/>
        <v>Halte Jokten Kulon - SMAN 7 di depan ADHI SURYA MOTOR</v>
      </c>
    </row>
    <row r="49" spans="1:11" x14ac:dyDescent="0.35">
      <c r="A49" s="6">
        <f t="shared" si="2"/>
        <v>47</v>
      </c>
      <c r="B49" s="6" t="s">
        <v>60</v>
      </c>
      <c r="C49" s="6" t="s">
        <v>11</v>
      </c>
      <c r="D49" s="6">
        <v>26.8</v>
      </c>
      <c r="E49" s="6">
        <v>13</v>
      </c>
      <c r="F49" s="6">
        <v>30</v>
      </c>
      <c r="G49" s="7">
        <f>D49*AHP!$B$29+E49*AHP!$B$30+F49*AHP!$B$31</f>
        <v>23.112222222222222</v>
      </c>
      <c r="H49" s="8" t="str">
        <f>IFERROR(INDEX(Koordinat!$B:$B,MATCH($K49,Koordinat!$A:$A,0)),"")</f>
        <v>110.382151</v>
      </c>
      <c r="I49" s="8" t="str">
        <f>IFERROR(INDEX(Koordinat!$C:$C,MATCH($K49,Koordinat!$A:$A,0)),"")</f>
        <v>-7.801912</v>
      </c>
      <c r="J49" s="6" t="str" cm="1">
        <f t="array" ref="J49">_xlfn.IFS(G49&lt;=20,"Sangat Rendah",G49&lt;=40,"Rendah",G49&lt;=60,"Sedang",G49&lt;=80,"Tinggi",G49&lt;=100,"Sangat Tinggi")</f>
        <v>Rendah</v>
      </c>
      <c r="K49" s="6" t="str">
        <f t="shared" si="3"/>
        <v>Halte Kusumanegara 2 di Jalan Kusumanegara dekat Makam Pahlawan</v>
      </c>
    </row>
    <row r="50" spans="1:11" x14ac:dyDescent="0.35">
      <c r="A50" s="6">
        <f t="shared" si="2"/>
        <v>49</v>
      </c>
      <c r="B50" s="6" t="s">
        <v>61</v>
      </c>
      <c r="C50" s="6" t="s">
        <v>14</v>
      </c>
      <c r="D50" s="6">
        <v>15.9</v>
      </c>
      <c r="E50" s="6">
        <v>25</v>
      </c>
      <c r="F50" s="6">
        <v>30</v>
      </c>
      <c r="G50" s="7">
        <f>D50*AHP!$B$29+E50*AHP!$B$30+F50*AHP!$B$31</f>
        <v>22.564444444444447</v>
      </c>
      <c r="H50" s="8" t="str">
        <f>IFERROR(INDEX(Koordinat!$B:$B,MATCH($K50,Koordinat!$A:$A,0)),"")</f>
        <v>110.3900136</v>
      </c>
      <c r="I50" s="8" t="str">
        <f>IFERROR(INDEX(Koordinat!$C:$C,MATCH($K50,Koordinat!$A:$A,0)),"")</f>
        <v>-7.827296156</v>
      </c>
      <c r="J50" s="6" t="str" cm="1">
        <f t="array" ref="J50">_xlfn.IFS(G50&lt;=20,"Sangat Rendah",G50&lt;=40,"Rendah",G50&lt;=60,"Sedang",G50&lt;=80,"Tinggi",G50&lt;=100,"Sangat Tinggi")</f>
        <v>Rendah</v>
      </c>
      <c r="K50" s="6" t="str">
        <f t="shared" si="3"/>
        <v>TPB Gudang SGM 2</v>
      </c>
    </row>
    <row r="51" spans="1:11" x14ac:dyDescent="0.35">
      <c r="A51" s="6">
        <f t="shared" si="2"/>
        <v>50</v>
      </c>
      <c r="B51" s="6" t="s">
        <v>62</v>
      </c>
      <c r="C51" s="6" t="s">
        <v>14</v>
      </c>
      <c r="D51" s="6">
        <v>25.4</v>
      </c>
      <c r="E51" s="6">
        <v>12.5</v>
      </c>
      <c r="F51" s="6">
        <v>30</v>
      </c>
      <c r="G51" s="7">
        <f>D51*AHP!$B$29+E51*AHP!$B$30+F51*AHP!$B$31</f>
        <v>22.372777777777777</v>
      </c>
      <c r="H51" s="8" t="str">
        <f>IFERROR(INDEX(Koordinat!$B:$B,MATCH($K51,Koordinat!$A:$A,0)),"")</f>
        <v>110.3759844</v>
      </c>
      <c r="I51" s="8" t="str">
        <f>IFERROR(INDEX(Koordinat!$C:$C,MATCH($K51,Koordinat!$A:$A,0)),"")</f>
        <v>-7.816851924</v>
      </c>
      <c r="J51" s="6" t="str" cm="1">
        <f t="array" ref="J51">_xlfn.IFS(G51&lt;=20,"Sangat Rendah",G51&lt;=40,"Rendah",G51&lt;=60,"Sedang",G51&lt;=80,"Tinggi",G51&lt;=100,"Sangat Tinggi")</f>
        <v>Rendah</v>
      </c>
      <c r="K51" s="6" t="str">
        <f t="shared" si="3"/>
        <v>Halte PA Muhammadiyah di Depan Panti Asuhan Yatim Putra</v>
      </c>
    </row>
    <row r="52" spans="1:11" x14ac:dyDescent="0.35">
      <c r="A52" s="6">
        <f t="shared" si="2"/>
        <v>52</v>
      </c>
      <c r="B52" s="6" t="s">
        <v>63</v>
      </c>
      <c r="C52" s="6" t="s">
        <v>14</v>
      </c>
      <c r="D52" s="6">
        <v>22.5</v>
      </c>
      <c r="E52" s="6">
        <v>13.5</v>
      </c>
      <c r="F52" s="6">
        <v>30</v>
      </c>
      <c r="G52" s="7">
        <f>D52*AHP!$B$29+E52*AHP!$B$30+F52*AHP!$B$31</f>
        <v>21.508333333333333</v>
      </c>
      <c r="H52" s="8" t="str">
        <f>IFERROR(INDEX(Koordinat!$B:$B,MATCH($K52,Koordinat!$A:$A,0)),"")</f>
        <v>110.3863732</v>
      </c>
      <c r="I52" s="8" t="str">
        <f>IFERROR(INDEX(Koordinat!$C:$C,MATCH($K52,Koordinat!$A:$A,0)),"")</f>
        <v>-7.815705688</v>
      </c>
      <c r="J52" s="6" t="str" cm="1">
        <f t="array" ref="J52">_xlfn.IFS(G52&lt;=20,"Sangat Rendah",G52&lt;=40,"Rendah",G52&lt;=60,"Sedang",G52&lt;=80,"Tinggi",G52&lt;=100,"Sangat Tinggi")</f>
        <v>Rendah</v>
      </c>
      <c r="K52" s="6" t="str">
        <f t="shared" si="3"/>
        <v>TPB S3 PSKY Umbulharjo</v>
      </c>
    </row>
    <row r="53" spans="1:11" x14ac:dyDescent="0.35">
      <c r="A53" s="6">
        <f t="shared" si="2"/>
        <v>51</v>
      </c>
      <c r="B53" s="6" t="s">
        <v>64</v>
      </c>
      <c r="C53" s="6" t="s">
        <v>41</v>
      </c>
      <c r="D53" s="6">
        <v>18.100000000000001</v>
      </c>
      <c r="E53" s="6">
        <v>0</v>
      </c>
      <c r="F53" s="6">
        <v>54</v>
      </c>
      <c r="G53" s="7">
        <f>D53*AHP!$B$29+E53*AHP!$B$30+F53*AHP!$B$31</f>
        <v>21.541111111111114</v>
      </c>
      <c r="H53" s="8" t="str">
        <f>IFERROR(INDEX(Koordinat!$B:$B,MATCH($K53,Koordinat!$A:$A,0)),"")</f>
        <v>110.3842867</v>
      </c>
      <c r="I53" s="8" t="str">
        <f>IFERROR(INDEX(Koordinat!$C:$C,MATCH($K53,Koordinat!$A:$A,0)),"")</f>
        <v>-7.783115408</v>
      </c>
      <c r="J53" s="6" t="str" cm="1">
        <f t="array" ref="J53">_xlfn.IFS(G53&lt;=20,"Sangat Rendah",G53&lt;=40,"Rendah",G53&lt;=60,"Sedang",G53&lt;=80,"Tinggi",G53&lt;=100,"Sangat Tinggi")</f>
        <v>Rendah</v>
      </c>
      <c r="K53" s="6" t="str">
        <f t="shared" si="3"/>
        <v>HALTE TAKSI URIP SUMOHARJO</v>
      </c>
    </row>
    <row r="54" spans="1:11" x14ac:dyDescent="0.35">
      <c r="A54" s="6">
        <f t="shared" si="2"/>
        <v>53</v>
      </c>
      <c r="B54" s="6" t="s">
        <v>65</v>
      </c>
      <c r="C54" s="6" t="s">
        <v>14</v>
      </c>
      <c r="D54" s="6">
        <v>10.9</v>
      </c>
      <c r="E54" s="6">
        <v>25</v>
      </c>
      <c r="F54" s="6">
        <v>30</v>
      </c>
      <c r="G54" s="7">
        <f>D54*AHP!$B$29+E54*AHP!$B$30+F54*AHP!$B$31</f>
        <v>20.50888888888889</v>
      </c>
      <c r="H54" s="8" t="str">
        <f>IFERROR(INDEX(Koordinat!$B:$B,MATCH($K54,Koordinat!$A:$A,0)),"")</f>
        <v>110.3798916</v>
      </c>
      <c r="I54" s="8" t="str">
        <f>IFERROR(INDEX(Koordinat!$C:$C,MATCH($K54,Koordinat!$A:$A,0)),"")</f>
        <v>-7.824865819</v>
      </c>
      <c r="J54" s="6" t="str" cm="1">
        <f t="array" ref="J54">_xlfn.IFS(G54&lt;=20,"Sangat Rendah",G54&lt;=40,"Rendah",G54&lt;=60,"Sedang",G54&lt;=80,"Tinggi",G54&lt;=100,"Sangat Tinggi")</f>
        <v>Rendah</v>
      </c>
      <c r="K54" s="6" t="str">
        <f t="shared" si="3"/>
        <v>Halte Sorogenen (Nitikan) di Area Pertokoan</v>
      </c>
    </row>
    <row r="55" spans="1:11" x14ac:dyDescent="0.35">
      <c r="A55" s="6">
        <f t="shared" si="2"/>
        <v>54</v>
      </c>
      <c r="B55" s="6" t="s">
        <v>66</v>
      </c>
      <c r="C55" s="6" t="s">
        <v>11</v>
      </c>
      <c r="D55" s="6">
        <v>21.7</v>
      </c>
      <c r="E55" s="6">
        <v>0.5</v>
      </c>
      <c r="F55" s="6">
        <v>42</v>
      </c>
      <c r="G55" s="7">
        <f>D55*AHP!$B$29+E55*AHP!$B$30+F55*AHP!$B$31</f>
        <v>20.051666666666669</v>
      </c>
      <c r="H55" s="8" t="str">
        <f>IFERROR(INDEX(Koordinat!$B:$B,MATCH($K55,Koordinat!$A:$A,0)),"")</f>
        <v>110.3950222</v>
      </c>
      <c r="I55" s="8" t="str">
        <f>IFERROR(INDEX(Koordinat!$C:$C,MATCH($K55,Koordinat!$A:$A,0)),"")</f>
        <v>-7.80041308</v>
      </c>
      <c r="J55" s="6" t="str" cm="1">
        <f t="array" ref="J55">_xlfn.IFS(G55&lt;=20,"Sangat Rendah",G55&lt;=40,"Rendah",G55&lt;=60,"Sedang",G55&lt;=80,"Tinggi",G55&lt;=100,"Sangat Tinggi")</f>
        <v>Rendah</v>
      </c>
      <c r="K55" s="6" t="str">
        <f t="shared" si="3"/>
        <v>Halte SMKN 5 di Depan SMKN5 Yogyakarta</v>
      </c>
    </row>
    <row r="56" spans="1:11" x14ac:dyDescent="0.35">
      <c r="A56" s="6">
        <f t="shared" si="2"/>
        <v>55</v>
      </c>
      <c r="B56" s="6" t="s">
        <v>67</v>
      </c>
      <c r="C56" s="6" t="s">
        <v>14</v>
      </c>
      <c r="D56" s="6">
        <v>26.8</v>
      </c>
      <c r="E56" s="6">
        <v>0.5</v>
      </c>
      <c r="F56" s="6">
        <v>30</v>
      </c>
      <c r="G56" s="7">
        <f>D56*AHP!$B$29+E56*AHP!$B$30+F56*AHP!$B$31</f>
        <v>19.015000000000001</v>
      </c>
      <c r="H56" s="8" t="str">
        <f>IFERROR(INDEX(Koordinat!$B:$B,MATCH($K56,Koordinat!$A:$A,0)),"")</f>
        <v>110.3760291</v>
      </c>
      <c r="I56" s="8" t="str">
        <f>IFERROR(INDEX(Koordinat!$C:$C,MATCH($K56,Koordinat!$A:$A,0)),"")</f>
        <v>-7.817037736</v>
      </c>
      <c r="J56" s="6" t="str" cm="1">
        <f t="array" ref="J56">_xlfn.IFS(G56&lt;=20,"Sangat Rendah",G56&lt;=40,"Rendah",G56&lt;=60,"Sedang",G56&lt;=80,"Tinggi",G56&lt;=100,"Sangat Tinggi")</f>
        <v>Sangat Rendah</v>
      </c>
      <c r="K56" s="6" t="str">
        <f t="shared" si="3"/>
        <v>TPB Rowanu di Dekat Homestay Puri Kafilia</v>
      </c>
    </row>
    <row r="57" spans="1:11" x14ac:dyDescent="0.35">
      <c r="A57" s="6">
        <f t="shared" si="2"/>
        <v>56</v>
      </c>
      <c r="B57" s="6" t="s">
        <v>68</v>
      </c>
      <c r="C57" s="6" t="s">
        <v>11</v>
      </c>
      <c r="D57" s="6">
        <v>26.1</v>
      </c>
      <c r="E57" s="6">
        <v>0</v>
      </c>
      <c r="F57" s="6">
        <v>30</v>
      </c>
      <c r="G57" s="7">
        <f>D57*AHP!$B$29+E57*AHP!$B$30+F57*AHP!$B$31</f>
        <v>18.563333333333336</v>
      </c>
      <c r="H57" s="8" t="str">
        <f>IFERROR(INDEX(Koordinat!$B:$B,MATCH($K57,Koordinat!$A:$A,0)),"")</f>
        <v>110.3832306</v>
      </c>
      <c r="I57" s="8" t="str">
        <f>IFERROR(INDEX(Koordinat!$C:$C,MATCH($K57,Koordinat!$A:$A,0)),"")</f>
        <v>-7.797533813</v>
      </c>
      <c r="J57" s="6" t="str" cm="1">
        <f t="array" ref="J57">_xlfn.IFS(G57&lt;=20,"Sangat Rendah",G57&lt;=40,"Rendah",G57&lt;=60,"Sedang",G57&lt;=80,"Tinggi",G57&lt;=100,"Sangat Tinggi")</f>
        <v>Sangat Rendah</v>
      </c>
      <c r="K57" s="6" t="str">
        <f t="shared" si="3"/>
        <v>Halte Kenari 1 di Depan Fakultas Psikologi UNY dan di Sebelah Selatan Stadiun Mandala Krida</v>
      </c>
    </row>
    <row r="58" spans="1:11" x14ac:dyDescent="0.35">
      <c r="A58" s="6">
        <f t="shared" si="2"/>
        <v>57</v>
      </c>
      <c r="B58" s="6" t="s">
        <v>69</v>
      </c>
      <c r="C58" s="6" t="s">
        <v>11</v>
      </c>
      <c r="D58" s="6">
        <v>0</v>
      </c>
      <c r="E58" s="6">
        <v>25</v>
      </c>
      <c r="F58" s="6">
        <v>30</v>
      </c>
      <c r="G58" s="7">
        <f>D58*AHP!$B$29+E58*AHP!$B$30+F58*AHP!$B$31</f>
        <v>16.027777777777779</v>
      </c>
      <c r="H58" s="8" t="str">
        <f>IFERROR(INDEX(Koordinat!$B:$B,MATCH($K58,Koordinat!$A:$A,0)),"")</f>
        <v>110.3988688</v>
      </c>
      <c r="I58" s="8" t="str">
        <f>IFERROR(INDEX(Koordinat!$C:$C,MATCH($K58,Koordinat!$A:$A,0)),"")</f>
        <v>-7.802311088</v>
      </c>
      <c r="J58" s="6" t="str" cm="1">
        <f t="array" ref="J58">_xlfn.IFS(G58&lt;=20,"Sangat Rendah",G58&lt;=40,"Rendah",G58&lt;=60,"Sedang",G58&lt;=80,"Tinggi",G58&lt;=100,"Sangat Tinggi")</f>
        <v>Sangat Rendah</v>
      </c>
      <c r="K58" s="6" t="str">
        <f t="shared" si="3"/>
        <v>Halte Trans BonBin di Jalan Kusumanegara</v>
      </c>
    </row>
    <row r="59" spans="1:11" x14ac:dyDescent="0.35">
      <c r="A59" s="6">
        <f t="shared" si="2"/>
        <v>58</v>
      </c>
      <c r="B59" s="6" t="s">
        <v>70</v>
      </c>
      <c r="C59" s="6" t="s">
        <v>14</v>
      </c>
      <c r="D59" s="6">
        <v>15.2</v>
      </c>
      <c r="E59" s="6">
        <v>13.5</v>
      </c>
      <c r="F59" s="6">
        <v>18</v>
      </c>
      <c r="G59" s="7">
        <f>D59*AHP!$B$29+E59*AHP!$B$30+F59*AHP!$B$31</f>
        <v>15.373888888888889</v>
      </c>
      <c r="H59" s="8" t="str">
        <f>IFERROR(INDEX(Koordinat!$B:$B,MATCH($K59,Koordinat!$A:$A,0)),"")</f>
        <v>110.3899383</v>
      </c>
      <c r="I59" s="8" t="str">
        <f>IFERROR(INDEX(Koordinat!$C:$C,MATCH($K59,Koordinat!$A:$A,0)),"")</f>
        <v>-7.827094408</v>
      </c>
      <c r="J59" s="6" t="str" cm="1">
        <f t="array" ref="J59">_xlfn.IFS(G59&lt;=20,"Sangat Rendah",G59&lt;=40,"Rendah",G59&lt;=60,"Sedang",G59&lt;=80,"Tinggi",G59&lt;=100,"Sangat Tinggi")</f>
        <v>Sangat Rendah</v>
      </c>
      <c r="K59" s="6" t="str">
        <f t="shared" si="3"/>
        <v>TPB Gudang SGM 1</v>
      </c>
    </row>
    <row r="60" spans="1:11" x14ac:dyDescent="0.35">
      <c r="A60" s="6">
        <f t="shared" si="2"/>
        <v>59</v>
      </c>
      <c r="B60" s="6" t="s">
        <v>71</v>
      </c>
      <c r="C60" s="6" t="s">
        <v>11</v>
      </c>
      <c r="D60" s="6">
        <v>10.1</v>
      </c>
      <c r="E60" s="6">
        <v>13</v>
      </c>
      <c r="F60" s="6">
        <v>18</v>
      </c>
      <c r="G60" s="7">
        <f>D60*AHP!$B$29+E60*AHP!$B$30+F60*AHP!$B$31</f>
        <v>13.113333333333333</v>
      </c>
      <c r="H60" s="8" t="str">
        <f>IFERROR(INDEX(Koordinat!$B:$B,MATCH($K60,Koordinat!$A:$A,0)),"")</f>
        <v>110.3933508</v>
      </c>
      <c r="I60" s="8" t="str">
        <f>IFERROR(INDEX(Koordinat!$C:$C,MATCH($K60,Koordinat!$A:$A,0)),"")</f>
        <v>-7.791168292</v>
      </c>
      <c r="J60" s="6" t="str" cm="1">
        <f t="array" ref="J60">_xlfn.IFS(G60&lt;=20,"Sangat Rendah",G60&lt;=40,"Rendah",G60&lt;=60,"Sedang",G60&lt;=80,"Tinggi",G60&lt;=100,"Sangat Tinggi")</f>
        <v>Sangat Rendah</v>
      </c>
      <c r="K60" s="6" t="str">
        <f t="shared" si="3"/>
        <v>Halte APMD Timur di Depan STPMD APMD Yogyakarta</v>
      </c>
    </row>
    <row r="61" spans="1:11" x14ac:dyDescent="0.35">
      <c r="A61" s="6">
        <f t="shared" si="2"/>
        <v>60</v>
      </c>
      <c r="B61" s="6" t="s">
        <v>72</v>
      </c>
      <c r="C61" s="6" t="s">
        <v>14</v>
      </c>
      <c r="D61" s="6">
        <v>23.2</v>
      </c>
      <c r="E61" s="6">
        <v>0</v>
      </c>
      <c r="F61" s="6">
        <v>6</v>
      </c>
      <c r="G61" s="7">
        <f>D61*AHP!$B$29+E61*AHP!$B$30+F61*AHP!$B$31</f>
        <v>11.104444444444445</v>
      </c>
      <c r="H61" s="8" t="str">
        <f>IFERROR(INDEX(Koordinat!$B:$B,MATCH($K61,Koordinat!$A:$A,0)),"")</f>
        <v>110.3949965</v>
      </c>
      <c r="I61" s="8" t="str">
        <f>IFERROR(INDEX(Koordinat!$C:$C,MATCH($K61,Koordinat!$A:$A,0)),"")</f>
        <v>-7.818933411</v>
      </c>
      <c r="J61" s="6" t="str" cm="1">
        <f t="array" ref="J61">_xlfn.IFS(G61&lt;=20,"Sangat Rendah",G61&lt;=40,"Rendah",G61&lt;=60,"Sedang",G61&lt;=80,"Tinggi",G61&lt;=100,"Sangat Tinggi")</f>
        <v>Sangat Rendah</v>
      </c>
      <c r="K61" s="6" t="str">
        <f t="shared" si="3"/>
        <v>Halte Ngeksigondo (Diklat PU) di Depan Kantor Balai Pengembangan Kompetensi</v>
      </c>
    </row>
    <row r="62" spans="1:11" x14ac:dyDescent="0.35">
      <c r="A62" s="6">
        <f t="shared" si="2"/>
        <v>61</v>
      </c>
      <c r="B62" s="6" t="s">
        <v>73</v>
      </c>
      <c r="C62" s="6" t="s">
        <v>14</v>
      </c>
      <c r="D62" s="6">
        <v>16.7</v>
      </c>
      <c r="E62" s="6">
        <v>1</v>
      </c>
      <c r="F62" s="6">
        <v>6</v>
      </c>
      <c r="G62" s="7">
        <f>D62*AHP!$B$29+E62*AHP!$B$30+F62*AHP!$B$31</f>
        <v>8.76</v>
      </c>
      <c r="H62" s="8" t="str">
        <f>IFERROR(INDEX(Koordinat!$B:$B,MATCH($K62,Koordinat!$A:$A,0)),"")</f>
        <v>110.3918387</v>
      </c>
      <c r="I62" s="8" t="str">
        <f>IFERROR(INDEX(Koordinat!$C:$C,MATCH($K62,Koordinat!$A:$A,0)),"")</f>
        <v>-7.826017117</v>
      </c>
      <c r="J62" s="6" t="str" cm="1">
        <f t="array" ref="J62">_xlfn.IFS(G62&lt;=20,"Sangat Rendah",G62&lt;=40,"Rendah",G62&lt;=60,"Sedang",G62&lt;=80,"Tinggi",G62&lt;=100,"Sangat Tinggi")</f>
        <v>Sangat Rendah</v>
      </c>
      <c r="K62" s="6" t="str">
        <f t="shared" si="3"/>
        <v>Halte Tegal Gendu 1</v>
      </c>
    </row>
    <row r="63" spans="1:11" x14ac:dyDescent="0.35">
      <c r="A63" s="6">
        <f t="shared" si="2"/>
        <v>62</v>
      </c>
      <c r="B63" s="6" t="s">
        <v>74</v>
      </c>
      <c r="C63" s="6" t="s">
        <v>14</v>
      </c>
      <c r="D63" s="6">
        <v>5.0999999999999996</v>
      </c>
      <c r="E63" s="6">
        <v>0</v>
      </c>
      <c r="F63" s="6">
        <v>18</v>
      </c>
      <c r="G63" s="7">
        <f>D63*AHP!$B$29+E63*AHP!$B$30+F63*AHP!$B$31</f>
        <v>6.7966666666666669</v>
      </c>
      <c r="H63" s="8" t="str">
        <f>IFERROR(INDEX(Koordinat!$B:$B,MATCH($K63,Koordinat!$A:$A,0)),"")</f>
        <v>110.3775314</v>
      </c>
      <c r="I63" s="8" t="str">
        <f>IFERROR(INDEX(Koordinat!$C:$C,MATCH($K63,Koordinat!$A:$A,0)),"")</f>
        <v>-7.822642588</v>
      </c>
      <c r="J63" s="6" t="str" cm="1">
        <f t="array" ref="J63">_xlfn.IFS(G63&lt;=20,"Sangat Rendah",G63&lt;=40,"Rendah",G63&lt;=60,"Sedang",G63&lt;=80,"Tinggi",G63&lt;=100,"Sangat Tinggi")</f>
        <v>Sangat Rendah</v>
      </c>
      <c r="K63" s="6" t="str">
        <f t="shared" si="3"/>
        <v>Halte Widya Wiwaha 2 di Depan STIE Widya Wiwaha</v>
      </c>
    </row>
    <row r="64" spans="1:11" x14ac:dyDescent="0.35">
      <c r="A64" s="6">
        <f t="shared" si="2"/>
        <v>63</v>
      </c>
      <c r="B64" s="6" t="s">
        <v>75</v>
      </c>
      <c r="C64" s="6" t="s">
        <v>14</v>
      </c>
      <c r="D64" s="6">
        <v>3.6</v>
      </c>
      <c r="E64" s="6">
        <v>0.5</v>
      </c>
      <c r="F64" s="6">
        <v>18</v>
      </c>
      <c r="G64" s="7">
        <f>D64*AHP!$B$29+E64*AHP!$B$30+F64*AHP!$B$31</f>
        <v>6.3438888888888894</v>
      </c>
      <c r="H64" s="8" t="str">
        <f>IFERROR(INDEX(Koordinat!$B:$B,MATCH($K64,Koordinat!$A:$A,0)),"")</f>
        <v>110.3901953</v>
      </c>
      <c r="I64" s="8" t="str">
        <f>IFERROR(INDEX(Koordinat!$C:$C,MATCH($K64,Koordinat!$A:$A,0)),"")</f>
        <v>-7.832450449</v>
      </c>
      <c r="J64" s="6" t="str" cm="1">
        <f t="array" ref="J64">_xlfn.IFS(G64&lt;=20,"Sangat Rendah",G64&lt;=40,"Rendah",G64&lt;=60,"Sedang",G64&lt;=80,"Tinggi",G64&lt;=100,"Sangat Tinggi")</f>
        <v>Sangat Rendah</v>
      </c>
      <c r="K64" s="6" t="str">
        <f t="shared" si="3"/>
        <v>TPB Pasar Giwangan 2</v>
      </c>
    </row>
    <row r="65" spans="1:11" x14ac:dyDescent="0.35">
      <c r="A65" s="6">
        <f t="shared" si="2"/>
        <v>64</v>
      </c>
      <c r="B65" s="6" t="s">
        <v>76</v>
      </c>
      <c r="C65" s="6" t="s">
        <v>14</v>
      </c>
      <c r="D65" s="6">
        <v>3.6</v>
      </c>
      <c r="E65" s="6">
        <v>0</v>
      </c>
      <c r="F65" s="6">
        <v>0</v>
      </c>
      <c r="G65" s="7">
        <f>D65*AHP!$B$29+E65*AHP!$B$30+F65*AHP!$B$31</f>
        <v>1.4800000000000002</v>
      </c>
      <c r="H65" s="8" t="str">
        <f>IFERROR(INDEX(Koordinat!$B:$B,MATCH($K65,Koordinat!$A:$A,0)),"")</f>
        <v>110.3776763</v>
      </c>
      <c r="I65" s="8" t="str">
        <f>IFERROR(INDEX(Koordinat!$C:$C,MATCH($K65,Koordinat!$A:$A,0)),"")</f>
        <v>-7.822836023</v>
      </c>
      <c r="J65" s="6" t="str" cm="1">
        <f t="array" ref="J65">_xlfn.IFS(G65&lt;=20,"Sangat Rendah",G65&lt;=40,"Rendah",G65&lt;=60,"Sedang",G65&lt;=80,"Tinggi",G65&lt;=100,"Sangat Tinggi")</f>
        <v>Sangat Rendah</v>
      </c>
      <c r="K65" s="6" t="str">
        <f t="shared" si="3"/>
        <v>Halte Widya Wiwaha 1 di Depan STIE Widya Wiwaha</v>
      </c>
    </row>
    <row r="68" spans="1:11" x14ac:dyDescent="0.35">
      <c r="A68" s="9"/>
    </row>
    <row r="69" spans="1:11" x14ac:dyDescent="0.35">
      <c r="A69" s="10"/>
    </row>
    <row r="70" spans="1:11" x14ac:dyDescent="0.35">
      <c r="A70" s="10"/>
    </row>
    <row r="71" spans="1:11" x14ac:dyDescent="0.35">
      <c r="A71" s="10"/>
    </row>
    <row r="72" spans="1:11" x14ac:dyDescent="0.35">
      <c r="A72" s="10"/>
    </row>
    <row r="73" spans="1:11" x14ac:dyDescent="0.35">
      <c r="A73" s="10"/>
    </row>
    <row r="74" spans="1:11" x14ac:dyDescent="0.35">
      <c r="A74" s="10"/>
    </row>
  </sheetData>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3"/>
  <sheetViews>
    <sheetView zoomScaleNormal="100" workbookViewId="0">
      <selection activeCell="E26" sqref="E26"/>
    </sheetView>
  </sheetViews>
  <sheetFormatPr defaultColWidth="8.6328125" defaultRowHeight="14.5" x14ac:dyDescent="0.35"/>
  <cols>
    <col min="1" max="1" width="30" customWidth="1"/>
    <col min="2" max="5" width="16" customWidth="1"/>
    <col min="6" max="6" width="16.90625" customWidth="1"/>
  </cols>
  <sheetData>
    <row r="1" spans="1:7" x14ac:dyDescent="0.35">
      <c r="A1" s="38" t="s">
        <v>77</v>
      </c>
      <c r="B1" s="38"/>
      <c r="C1" s="38"/>
      <c r="D1" s="38"/>
      <c r="E1" s="38"/>
    </row>
    <row r="3" spans="1:7" x14ac:dyDescent="0.35">
      <c r="A3" s="39" t="s">
        <v>78</v>
      </c>
      <c r="B3" s="39"/>
      <c r="C3" s="39"/>
      <c r="D3" s="39"/>
      <c r="E3" s="39"/>
    </row>
    <row r="5" spans="1:7" x14ac:dyDescent="0.35">
      <c r="A5" s="3" t="s">
        <v>79</v>
      </c>
    </row>
    <row r="6" spans="1:7" x14ac:dyDescent="0.35">
      <c r="A6" s="2"/>
      <c r="B6" s="12" t="s">
        <v>80</v>
      </c>
      <c r="C6" s="12" t="s">
        <v>81</v>
      </c>
      <c r="D6" s="12" t="s">
        <v>82</v>
      </c>
    </row>
    <row r="7" spans="1:7" x14ac:dyDescent="0.35">
      <c r="A7" s="13" t="s">
        <v>80</v>
      </c>
      <c r="B7" s="14">
        <v>1</v>
      </c>
      <c r="C7" s="15">
        <v>1</v>
      </c>
      <c r="D7" s="15">
        <v>2</v>
      </c>
    </row>
    <row r="8" spans="1:7" x14ac:dyDescent="0.35">
      <c r="A8" s="13" t="s">
        <v>81</v>
      </c>
      <c r="B8" s="14">
        <f>1/C7</f>
        <v>1</v>
      </c>
      <c r="C8" s="14">
        <v>1</v>
      </c>
      <c r="D8" s="15">
        <v>1</v>
      </c>
    </row>
    <row r="9" spans="1:7" x14ac:dyDescent="0.35">
      <c r="A9" s="13" t="s">
        <v>82</v>
      </c>
      <c r="B9" s="14">
        <f>1/D7</f>
        <v>0.5</v>
      </c>
      <c r="C9" s="14">
        <f>1/D8</f>
        <v>1</v>
      </c>
      <c r="D9" s="14">
        <v>1</v>
      </c>
    </row>
    <row r="10" spans="1:7" x14ac:dyDescent="0.35">
      <c r="A10" s="3" t="s">
        <v>83</v>
      </c>
      <c r="B10" s="1">
        <f>SUM(B7:B9)</f>
        <v>2.5</v>
      </c>
      <c r="C10" s="1">
        <f>SUM(C7:C9)</f>
        <v>3</v>
      </c>
      <c r="D10" s="1">
        <f>SUM(D7:D9)</f>
        <v>4</v>
      </c>
    </row>
    <row r="11" spans="1:7" x14ac:dyDescent="0.35">
      <c r="A11" s="16" t="s">
        <v>84</v>
      </c>
    </row>
    <row r="12" spans="1:7" x14ac:dyDescent="0.35">
      <c r="A12" s="3"/>
    </row>
    <row r="13" spans="1:7" x14ac:dyDescent="0.35">
      <c r="A13" s="17" t="s">
        <v>85</v>
      </c>
      <c r="B13" s="18"/>
      <c r="C13" s="18"/>
      <c r="D13" s="18"/>
      <c r="E13" s="18"/>
    </row>
    <row r="14" spans="1:7" x14ac:dyDescent="0.35">
      <c r="A14" s="19" t="s">
        <v>86</v>
      </c>
      <c r="B14" s="20" t="s">
        <v>80</v>
      </c>
      <c r="C14" s="20" t="s">
        <v>81</v>
      </c>
      <c r="D14" s="20" t="s">
        <v>82</v>
      </c>
      <c r="E14" s="20" t="s">
        <v>87</v>
      </c>
      <c r="F14" s="19" t="s">
        <v>88</v>
      </c>
      <c r="G14" s="19" t="s">
        <v>89</v>
      </c>
    </row>
    <row r="15" spans="1:7" x14ac:dyDescent="0.35">
      <c r="A15" s="21" t="s">
        <v>80</v>
      </c>
      <c r="B15" s="22">
        <f t="shared" ref="B15:D17" si="0">B7/B$10</f>
        <v>0.4</v>
      </c>
      <c r="C15" s="22">
        <f t="shared" si="0"/>
        <v>0.33333333333333331</v>
      </c>
      <c r="D15" s="22">
        <f t="shared" si="0"/>
        <v>0.5</v>
      </c>
      <c r="E15" s="23">
        <f>SUM(B15:D15)</f>
        <v>1.2333333333333334</v>
      </c>
      <c r="F15" s="24">
        <f>E15/3</f>
        <v>0.41111111111111115</v>
      </c>
      <c r="G15" s="24">
        <f>F15*B$10</f>
        <v>1.0277777777777779</v>
      </c>
    </row>
    <row r="16" spans="1:7" x14ac:dyDescent="0.35">
      <c r="A16" s="21" t="s">
        <v>81</v>
      </c>
      <c r="B16" s="22">
        <f t="shared" si="0"/>
        <v>0.4</v>
      </c>
      <c r="C16" s="22">
        <f t="shared" si="0"/>
        <v>0.33333333333333331</v>
      </c>
      <c r="D16" s="22">
        <f t="shared" si="0"/>
        <v>0.25</v>
      </c>
      <c r="E16" s="23">
        <f>SUM(B16:D16)</f>
        <v>0.98333333333333339</v>
      </c>
      <c r="F16" s="24">
        <f>E16/3</f>
        <v>0.32777777777777778</v>
      </c>
      <c r="G16" s="24">
        <f>F16*C$10</f>
        <v>0.98333333333333339</v>
      </c>
    </row>
    <row r="17" spans="1:7" x14ac:dyDescent="0.35">
      <c r="A17" s="25" t="s">
        <v>82</v>
      </c>
      <c r="B17" s="26">
        <f t="shared" si="0"/>
        <v>0.2</v>
      </c>
      <c r="C17" s="26">
        <f t="shared" si="0"/>
        <v>0.33333333333333331</v>
      </c>
      <c r="D17" s="26">
        <f t="shared" si="0"/>
        <v>0.25</v>
      </c>
      <c r="E17" s="23">
        <f>SUM(B17:D17)</f>
        <v>0.78333333333333333</v>
      </c>
      <c r="F17" s="24">
        <f>E17/3</f>
        <v>0.26111111111111113</v>
      </c>
      <c r="G17" s="24">
        <f>F17*D$10</f>
        <v>1.0444444444444445</v>
      </c>
    </row>
    <row r="18" spans="1:7" x14ac:dyDescent="0.35">
      <c r="A18" s="27" t="s">
        <v>83</v>
      </c>
      <c r="B18" s="24"/>
      <c r="C18" s="24"/>
      <c r="D18" s="24"/>
      <c r="E18" s="24"/>
      <c r="F18" s="27">
        <f>SUM(F15:F17)</f>
        <v>1</v>
      </c>
      <c r="G18" s="27">
        <f>SUM(G15:G17)</f>
        <v>3.0555555555555554</v>
      </c>
    </row>
    <row r="19" spans="1:7" x14ac:dyDescent="0.35">
      <c r="A19" s="1"/>
    </row>
    <row r="20" spans="1:7" x14ac:dyDescent="0.35">
      <c r="A20" s="28" t="s">
        <v>90</v>
      </c>
    </row>
    <row r="21" spans="1:7" x14ac:dyDescent="0.35">
      <c r="A21" s="2" t="s">
        <v>91</v>
      </c>
      <c r="B21" s="29">
        <f>G18</f>
        <v>3.0555555555555554</v>
      </c>
    </row>
    <row r="22" spans="1:7" x14ac:dyDescent="0.35">
      <c r="A22" s="2" t="s">
        <v>92</v>
      </c>
      <c r="B22" s="29">
        <v>3</v>
      </c>
    </row>
    <row r="23" spans="1:7" x14ac:dyDescent="0.35">
      <c r="A23" s="2" t="s">
        <v>93</v>
      </c>
      <c r="B23" s="29">
        <f>(B21-B22)/(B22-1)</f>
        <v>2.7777777777777679E-2</v>
      </c>
    </row>
    <row r="24" spans="1:7" x14ac:dyDescent="0.35">
      <c r="A24" t="s">
        <v>94</v>
      </c>
      <c r="B24" s="30">
        <v>0.57999999999999996</v>
      </c>
    </row>
    <row r="25" spans="1:7" x14ac:dyDescent="0.35">
      <c r="A25" s="2" t="s">
        <v>95</v>
      </c>
      <c r="B25" s="29">
        <f>B23/B24</f>
        <v>4.7892720306513245E-2</v>
      </c>
    </row>
    <row r="26" spans="1:7" x14ac:dyDescent="0.35">
      <c r="A26" t="s">
        <v>96</v>
      </c>
      <c r="B26" s="14" t="str">
        <f>IF(B25&lt;=0.1,"KONSISTEN - bobot valid digunakan","TIDAK KONSISTEN - revisi penilaian pairwise")</f>
        <v>KONSISTEN - bobot valid digunakan</v>
      </c>
    </row>
    <row r="27" spans="1:7" x14ac:dyDescent="0.35">
      <c r="B27" s="14"/>
    </row>
    <row r="28" spans="1:7" x14ac:dyDescent="0.35">
      <c r="A28" s="1" t="s">
        <v>97</v>
      </c>
    </row>
    <row r="29" spans="1:7" x14ac:dyDescent="0.35">
      <c r="A29" s="17" t="s">
        <v>98</v>
      </c>
      <c r="B29" s="31">
        <f>F15</f>
        <v>0.41111111111111115</v>
      </c>
    </row>
    <row r="30" spans="1:7" x14ac:dyDescent="0.35">
      <c r="A30" s="25" t="s">
        <v>99</v>
      </c>
      <c r="B30" s="32">
        <f>F16</f>
        <v>0.32777777777777778</v>
      </c>
    </row>
    <row r="31" spans="1:7" x14ac:dyDescent="0.35">
      <c r="A31" s="25" t="s">
        <v>100</v>
      </c>
      <c r="B31" s="32">
        <f>F17</f>
        <v>0.26111111111111113</v>
      </c>
    </row>
    <row r="32" spans="1:7" x14ac:dyDescent="0.35">
      <c r="B32" s="33"/>
    </row>
    <row r="33" spans="1:9" x14ac:dyDescent="0.35">
      <c r="A33" s="11"/>
      <c r="B33" s="34"/>
    </row>
    <row r="34" spans="1:9" x14ac:dyDescent="0.35">
      <c r="A34" s="1"/>
      <c r="B34" s="40"/>
      <c r="C34" s="40"/>
      <c r="D34" s="40"/>
      <c r="E34" s="40"/>
    </row>
    <row r="36" spans="1:9" x14ac:dyDescent="0.35">
      <c r="A36" s="1"/>
    </row>
    <row r="37" spans="1:9" x14ac:dyDescent="0.35">
      <c r="A37" s="11"/>
      <c r="B37" s="35"/>
    </row>
    <row r="38" spans="1:9" x14ac:dyDescent="0.35">
      <c r="A38" s="11"/>
      <c r="B38" s="35"/>
    </row>
    <row r="39" spans="1:9" x14ac:dyDescent="0.35">
      <c r="A39" s="11"/>
      <c r="B39" s="35"/>
    </row>
    <row r="41" spans="1:9" x14ac:dyDescent="0.35">
      <c r="A41" s="1"/>
    </row>
    <row r="42" spans="1:9" x14ac:dyDescent="0.35">
      <c r="A42" s="16"/>
    </row>
    <row r="44" spans="1:9" x14ac:dyDescent="0.35">
      <c r="A44" s="1"/>
      <c r="B44" s="36"/>
      <c r="C44" s="36"/>
      <c r="D44" s="36"/>
      <c r="E44" s="36"/>
      <c r="F44" s="36"/>
      <c r="G44" s="36"/>
      <c r="H44" s="36"/>
      <c r="I44" s="36"/>
    </row>
    <row r="45" spans="1:9" x14ac:dyDescent="0.35">
      <c r="A45" s="11"/>
    </row>
    <row r="46" spans="1:9" x14ac:dyDescent="0.35">
      <c r="A46" s="11"/>
    </row>
    <row r="47" spans="1:9" x14ac:dyDescent="0.35">
      <c r="A47" s="11"/>
    </row>
    <row r="48" spans="1:9" x14ac:dyDescent="0.35">
      <c r="A48" s="16"/>
    </row>
    <row r="50" spans="1:2" x14ac:dyDescent="0.35">
      <c r="A50" s="1"/>
    </row>
    <row r="51" spans="1:2" x14ac:dyDescent="0.35">
      <c r="B51" s="37"/>
    </row>
    <row r="52" spans="1:2" x14ac:dyDescent="0.35">
      <c r="B52" s="37"/>
    </row>
    <row r="53" spans="1:2" x14ac:dyDescent="0.35">
      <c r="B53" s="37"/>
    </row>
    <row r="55" spans="1:2" x14ac:dyDescent="0.35">
      <c r="A55" s="1"/>
    </row>
    <row r="56" spans="1:2" x14ac:dyDescent="0.35">
      <c r="A56" s="11"/>
    </row>
    <row r="73" spans="1:1" x14ac:dyDescent="0.35">
      <c r="A73" s="1"/>
    </row>
  </sheetData>
  <mergeCells count="3">
    <mergeCell ref="A1:E1"/>
    <mergeCell ref="A3:E3"/>
    <mergeCell ref="B34:E3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5"/>
  <sheetViews>
    <sheetView topLeftCell="C1" zoomScaleNormal="100" workbookViewId="0">
      <pane ySplit="1" topLeftCell="A2" activePane="bottomLeft" state="frozen"/>
      <selection activeCell="C1" sqref="C1"/>
      <selection pane="bottomLeft" activeCell="L6" sqref="L6"/>
    </sheetView>
  </sheetViews>
  <sheetFormatPr defaultColWidth="8.6328125" defaultRowHeight="14.5" x14ac:dyDescent="0.35"/>
  <cols>
    <col min="1" max="1" width="45" customWidth="1"/>
    <col min="2" max="2" width="11" customWidth="1"/>
    <col min="3" max="3" width="10" customWidth="1"/>
    <col min="4" max="5" width="12" customWidth="1"/>
    <col min="6" max="8" width="13" customWidth="1"/>
    <col min="9" max="9" width="14" customWidth="1"/>
    <col min="10" max="10" width="27" customWidth="1"/>
    <col min="11" max="11" width="25" customWidth="1"/>
    <col min="12" max="12" width="28" customWidth="1"/>
  </cols>
  <sheetData>
    <row r="1" spans="1:12" x14ac:dyDescent="0.35">
      <c r="A1" s="4" t="s">
        <v>1</v>
      </c>
      <c r="B1" s="4" t="s">
        <v>101</v>
      </c>
      <c r="C1" s="4" t="s">
        <v>102</v>
      </c>
      <c r="D1" s="4" t="s">
        <v>103</v>
      </c>
      <c r="E1" s="4" t="s">
        <v>104</v>
      </c>
      <c r="F1" s="4" t="s">
        <v>105</v>
      </c>
      <c r="G1" s="4" t="s">
        <v>106</v>
      </c>
      <c r="H1" s="4" t="s">
        <v>107</v>
      </c>
      <c r="I1" s="4" t="s">
        <v>108</v>
      </c>
      <c r="J1" s="4" t="s">
        <v>109</v>
      </c>
      <c r="K1" s="4" t="s">
        <v>110</v>
      </c>
      <c r="L1" s="4" t="s">
        <v>3</v>
      </c>
    </row>
    <row r="2" spans="1:12" x14ac:dyDescent="0.35">
      <c r="A2" s="6" t="s">
        <v>10</v>
      </c>
      <c r="B2" s="6">
        <v>29</v>
      </c>
      <c r="C2" s="6">
        <v>63</v>
      </c>
      <c r="D2" s="6">
        <v>5</v>
      </c>
      <c r="E2" s="6">
        <v>17</v>
      </c>
      <c r="F2" s="6">
        <v>12</v>
      </c>
      <c r="G2" s="6">
        <v>35</v>
      </c>
      <c r="H2" s="6">
        <v>12</v>
      </c>
      <c r="I2" s="6">
        <v>0</v>
      </c>
      <c r="J2" s="6">
        <f t="shared" ref="J2:J33" si="0">SUM(B2:I2)</f>
        <v>173</v>
      </c>
      <c r="K2" s="6">
        <f t="shared" ref="K2:K33" si="1">COUNTIF(B2:I2,"&gt;0")</f>
        <v>7</v>
      </c>
      <c r="L2" s="6">
        <f t="shared" ref="L2:L33" si="2">ROUND((J2-MIN($J$2:$J$65))/(MAX($J$2:$J$65)-MIN($J$2:$J$65))*100,1)</f>
        <v>100</v>
      </c>
    </row>
    <row r="3" spans="1:12" x14ac:dyDescent="0.35">
      <c r="A3" s="6" t="s">
        <v>18</v>
      </c>
      <c r="B3" s="6">
        <v>26</v>
      </c>
      <c r="C3" s="6">
        <v>52</v>
      </c>
      <c r="D3" s="6">
        <v>6</v>
      </c>
      <c r="E3" s="6">
        <v>25</v>
      </c>
      <c r="F3" s="6">
        <v>3</v>
      </c>
      <c r="G3" s="6">
        <v>27</v>
      </c>
      <c r="H3" s="6">
        <v>5</v>
      </c>
      <c r="I3" s="6">
        <v>0</v>
      </c>
      <c r="J3" s="6">
        <f t="shared" si="0"/>
        <v>144</v>
      </c>
      <c r="K3" s="6">
        <f t="shared" si="1"/>
        <v>7</v>
      </c>
      <c r="L3" s="6">
        <f t="shared" si="2"/>
        <v>79</v>
      </c>
    </row>
    <row r="4" spans="1:12" x14ac:dyDescent="0.35">
      <c r="A4" s="6" t="s">
        <v>15</v>
      </c>
      <c r="B4" s="6">
        <v>32</v>
      </c>
      <c r="C4" s="6">
        <v>58</v>
      </c>
      <c r="D4" s="6">
        <v>5</v>
      </c>
      <c r="E4" s="6">
        <v>19</v>
      </c>
      <c r="F4" s="6">
        <v>2</v>
      </c>
      <c r="G4" s="6">
        <v>21</v>
      </c>
      <c r="H4" s="6">
        <v>6</v>
      </c>
      <c r="I4" s="6">
        <v>0</v>
      </c>
      <c r="J4" s="6">
        <f t="shared" si="0"/>
        <v>143</v>
      </c>
      <c r="K4" s="6">
        <f t="shared" si="1"/>
        <v>7</v>
      </c>
      <c r="L4" s="6">
        <f t="shared" si="2"/>
        <v>78.3</v>
      </c>
    </row>
    <row r="5" spans="1:12" x14ac:dyDescent="0.35">
      <c r="A5" s="6" t="s">
        <v>13</v>
      </c>
      <c r="B5" s="6">
        <v>19</v>
      </c>
      <c r="C5" s="6">
        <v>56</v>
      </c>
      <c r="D5" s="6">
        <v>6</v>
      </c>
      <c r="E5" s="6">
        <v>24</v>
      </c>
      <c r="F5" s="6">
        <v>3</v>
      </c>
      <c r="G5" s="6">
        <v>27</v>
      </c>
      <c r="H5" s="6">
        <v>5</v>
      </c>
      <c r="I5" s="6">
        <v>0</v>
      </c>
      <c r="J5" s="6">
        <f t="shared" si="0"/>
        <v>140</v>
      </c>
      <c r="K5" s="6">
        <f t="shared" si="1"/>
        <v>7</v>
      </c>
      <c r="L5" s="6">
        <f t="shared" si="2"/>
        <v>76.099999999999994</v>
      </c>
    </row>
    <row r="6" spans="1:12" x14ac:dyDescent="0.35">
      <c r="A6" s="6" t="s">
        <v>12</v>
      </c>
      <c r="B6" s="6">
        <v>27</v>
      </c>
      <c r="C6" s="6">
        <v>39</v>
      </c>
      <c r="D6" s="6">
        <v>1</v>
      </c>
      <c r="E6" s="6">
        <v>23</v>
      </c>
      <c r="F6" s="6">
        <v>3</v>
      </c>
      <c r="G6" s="6">
        <v>35</v>
      </c>
      <c r="H6" s="6">
        <v>11</v>
      </c>
      <c r="I6" s="6">
        <v>0</v>
      </c>
      <c r="J6" s="6">
        <f t="shared" si="0"/>
        <v>139</v>
      </c>
      <c r="K6" s="6">
        <f t="shared" si="1"/>
        <v>7</v>
      </c>
      <c r="L6" s="6">
        <f t="shared" si="2"/>
        <v>75.400000000000006</v>
      </c>
    </row>
    <row r="7" spans="1:12" x14ac:dyDescent="0.35">
      <c r="A7" s="6" t="s">
        <v>16</v>
      </c>
      <c r="B7" s="6">
        <v>35</v>
      </c>
      <c r="C7" s="6">
        <v>47</v>
      </c>
      <c r="D7" s="6">
        <v>2</v>
      </c>
      <c r="E7" s="6">
        <v>16</v>
      </c>
      <c r="F7" s="6">
        <v>3</v>
      </c>
      <c r="G7" s="6">
        <v>25</v>
      </c>
      <c r="H7" s="6">
        <v>10</v>
      </c>
      <c r="I7" s="6">
        <v>0</v>
      </c>
      <c r="J7" s="6">
        <f t="shared" si="0"/>
        <v>138</v>
      </c>
      <c r="K7" s="6">
        <f t="shared" si="1"/>
        <v>7</v>
      </c>
      <c r="L7" s="6">
        <f t="shared" si="2"/>
        <v>74.599999999999994</v>
      </c>
    </row>
    <row r="8" spans="1:12" x14ac:dyDescent="0.35">
      <c r="A8" s="6" t="s">
        <v>17</v>
      </c>
      <c r="B8" s="6">
        <v>17</v>
      </c>
      <c r="C8" s="6">
        <v>41</v>
      </c>
      <c r="D8" s="6">
        <v>17</v>
      </c>
      <c r="E8" s="6">
        <v>16</v>
      </c>
      <c r="F8" s="6">
        <v>8</v>
      </c>
      <c r="G8" s="6">
        <v>32</v>
      </c>
      <c r="H8" s="6">
        <v>6</v>
      </c>
      <c r="I8" s="6">
        <v>0</v>
      </c>
      <c r="J8" s="6">
        <f t="shared" si="0"/>
        <v>137</v>
      </c>
      <c r="K8" s="6">
        <f t="shared" si="1"/>
        <v>7</v>
      </c>
      <c r="L8" s="6">
        <f t="shared" si="2"/>
        <v>73.900000000000006</v>
      </c>
    </row>
    <row r="9" spans="1:12" x14ac:dyDescent="0.35">
      <c r="A9" s="6" t="s">
        <v>19</v>
      </c>
      <c r="B9" s="6">
        <v>16</v>
      </c>
      <c r="C9" s="6">
        <v>40</v>
      </c>
      <c r="D9" s="6">
        <v>17</v>
      </c>
      <c r="E9" s="6">
        <v>15</v>
      </c>
      <c r="F9" s="6">
        <v>8</v>
      </c>
      <c r="G9" s="6">
        <v>31</v>
      </c>
      <c r="H9" s="6">
        <v>6</v>
      </c>
      <c r="I9" s="6">
        <v>0</v>
      </c>
      <c r="J9" s="6">
        <f t="shared" si="0"/>
        <v>133</v>
      </c>
      <c r="K9" s="6">
        <f t="shared" si="1"/>
        <v>7</v>
      </c>
      <c r="L9" s="6">
        <f t="shared" si="2"/>
        <v>71</v>
      </c>
    </row>
    <row r="10" spans="1:12" x14ac:dyDescent="0.35">
      <c r="A10" s="6" t="s">
        <v>20</v>
      </c>
      <c r="B10" s="6">
        <v>16</v>
      </c>
      <c r="C10" s="6">
        <v>39</v>
      </c>
      <c r="D10" s="6">
        <v>17</v>
      </c>
      <c r="E10" s="6">
        <v>15</v>
      </c>
      <c r="F10" s="6">
        <v>8</v>
      </c>
      <c r="G10" s="6">
        <v>31</v>
      </c>
      <c r="H10" s="6">
        <v>6</v>
      </c>
      <c r="I10" s="6">
        <v>0</v>
      </c>
      <c r="J10" s="6">
        <f t="shared" si="0"/>
        <v>132</v>
      </c>
      <c r="K10" s="6">
        <f t="shared" si="1"/>
        <v>7</v>
      </c>
      <c r="L10" s="6">
        <f t="shared" si="2"/>
        <v>70.3</v>
      </c>
    </row>
    <row r="11" spans="1:12" x14ac:dyDescent="0.35">
      <c r="A11" s="6" t="s">
        <v>22</v>
      </c>
      <c r="B11" s="6">
        <v>19</v>
      </c>
      <c r="C11" s="6">
        <v>53</v>
      </c>
      <c r="D11" s="6">
        <v>7</v>
      </c>
      <c r="E11" s="6">
        <v>13</v>
      </c>
      <c r="F11" s="6">
        <v>2</v>
      </c>
      <c r="G11" s="6">
        <v>29</v>
      </c>
      <c r="H11" s="6">
        <v>7</v>
      </c>
      <c r="I11" s="6">
        <v>2</v>
      </c>
      <c r="J11" s="6">
        <f t="shared" si="0"/>
        <v>132</v>
      </c>
      <c r="K11" s="6">
        <f t="shared" si="1"/>
        <v>8</v>
      </c>
      <c r="L11" s="6">
        <f t="shared" si="2"/>
        <v>70.3</v>
      </c>
    </row>
    <row r="12" spans="1:12" x14ac:dyDescent="0.35">
      <c r="A12" s="6" t="s">
        <v>40</v>
      </c>
      <c r="B12" s="6">
        <v>42</v>
      </c>
      <c r="C12" s="6">
        <v>44</v>
      </c>
      <c r="D12" s="6">
        <v>4</v>
      </c>
      <c r="E12" s="6">
        <v>17</v>
      </c>
      <c r="F12" s="6">
        <v>1</v>
      </c>
      <c r="G12" s="6">
        <v>17</v>
      </c>
      <c r="H12" s="6">
        <v>5</v>
      </c>
      <c r="I12" s="6">
        <v>0</v>
      </c>
      <c r="J12" s="6">
        <f t="shared" si="0"/>
        <v>130</v>
      </c>
      <c r="K12" s="6">
        <f t="shared" si="1"/>
        <v>7</v>
      </c>
      <c r="L12" s="6">
        <f t="shared" si="2"/>
        <v>68.8</v>
      </c>
    </row>
    <row r="13" spans="1:12" x14ac:dyDescent="0.35">
      <c r="A13" s="6" t="s">
        <v>37</v>
      </c>
      <c r="B13" s="6">
        <v>20</v>
      </c>
      <c r="C13" s="6">
        <v>43</v>
      </c>
      <c r="D13" s="6">
        <v>2</v>
      </c>
      <c r="E13" s="6">
        <v>21</v>
      </c>
      <c r="F13" s="6">
        <v>3</v>
      </c>
      <c r="G13" s="6">
        <v>27</v>
      </c>
      <c r="H13" s="6">
        <v>9</v>
      </c>
      <c r="I13" s="6">
        <v>2</v>
      </c>
      <c r="J13" s="6">
        <f t="shared" si="0"/>
        <v>127</v>
      </c>
      <c r="K13" s="6">
        <f t="shared" si="1"/>
        <v>8</v>
      </c>
      <c r="L13" s="6">
        <f t="shared" si="2"/>
        <v>66.7</v>
      </c>
    </row>
    <row r="14" spans="1:12" x14ac:dyDescent="0.35">
      <c r="A14" s="6" t="s">
        <v>24</v>
      </c>
      <c r="B14" s="6">
        <v>26</v>
      </c>
      <c r="C14" s="6">
        <v>21</v>
      </c>
      <c r="D14" s="6">
        <v>5</v>
      </c>
      <c r="E14" s="6">
        <v>25</v>
      </c>
      <c r="F14" s="6">
        <v>3</v>
      </c>
      <c r="G14" s="6">
        <v>38</v>
      </c>
      <c r="H14" s="6">
        <v>6</v>
      </c>
      <c r="I14" s="6">
        <v>0</v>
      </c>
      <c r="J14" s="6">
        <f t="shared" si="0"/>
        <v>124</v>
      </c>
      <c r="K14" s="6">
        <f t="shared" si="1"/>
        <v>7</v>
      </c>
      <c r="L14" s="6">
        <f t="shared" si="2"/>
        <v>64.5</v>
      </c>
    </row>
    <row r="15" spans="1:12" x14ac:dyDescent="0.35">
      <c r="A15" s="6" t="s">
        <v>26</v>
      </c>
      <c r="B15" s="6">
        <v>22</v>
      </c>
      <c r="C15" s="6">
        <v>19</v>
      </c>
      <c r="D15" s="6">
        <v>5</v>
      </c>
      <c r="E15" s="6">
        <v>24</v>
      </c>
      <c r="F15" s="6">
        <v>3</v>
      </c>
      <c r="G15" s="6">
        <v>37</v>
      </c>
      <c r="H15" s="6">
        <v>7</v>
      </c>
      <c r="I15" s="6">
        <v>0</v>
      </c>
      <c r="J15" s="6">
        <f t="shared" si="0"/>
        <v>117</v>
      </c>
      <c r="K15" s="6">
        <f t="shared" si="1"/>
        <v>7</v>
      </c>
      <c r="L15" s="6">
        <f t="shared" si="2"/>
        <v>59.4</v>
      </c>
    </row>
    <row r="16" spans="1:12" x14ac:dyDescent="0.35">
      <c r="A16" s="6" t="s">
        <v>35</v>
      </c>
      <c r="B16" s="6">
        <v>31</v>
      </c>
      <c r="C16" s="6">
        <v>25</v>
      </c>
      <c r="D16" s="6">
        <v>3</v>
      </c>
      <c r="E16" s="6">
        <v>21</v>
      </c>
      <c r="F16" s="6">
        <v>1</v>
      </c>
      <c r="G16" s="6">
        <v>19</v>
      </c>
      <c r="H16" s="6">
        <v>15</v>
      </c>
      <c r="I16" s="6">
        <v>0</v>
      </c>
      <c r="J16" s="6">
        <f t="shared" si="0"/>
        <v>115</v>
      </c>
      <c r="K16" s="6">
        <f t="shared" si="1"/>
        <v>7</v>
      </c>
      <c r="L16" s="6">
        <f t="shared" si="2"/>
        <v>58</v>
      </c>
    </row>
    <row r="17" spans="1:12" x14ac:dyDescent="0.35">
      <c r="A17" s="6" t="s">
        <v>30</v>
      </c>
      <c r="B17" s="6">
        <v>30</v>
      </c>
      <c r="C17" s="6">
        <v>26</v>
      </c>
      <c r="D17" s="6">
        <v>4</v>
      </c>
      <c r="E17" s="6">
        <v>19</v>
      </c>
      <c r="F17" s="6">
        <v>1</v>
      </c>
      <c r="G17" s="6">
        <v>21</v>
      </c>
      <c r="H17" s="6">
        <v>13</v>
      </c>
      <c r="I17" s="6">
        <v>0</v>
      </c>
      <c r="J17" s="6">
        <f t="shared" si="0"/>
        <v>114</v>
      </c>
      <c r="K17" s="6">
        <f t="shared" si="1"/>
        <v>7</v>
      </c>
      <c r="L17" s="6">
        <f t="shared" si="2"/>
        <v>57.2</v>
      </c>
    </row>
    <row r="18" spans="1:12" x14ac:dyDescent="0.35">
      <c r="A18" s="6" t="s">
        <v>38</v>
      </c>
      <c r="B18" s="6">
        <v>17</v>
      </c>
      <c r="C18" s="6">
        <v>42</v>
      </c>
      <c r="D18" s="6">
        <v>6</v>
      </c>
      <c r="E18" s="6">
        <v>14</v>
      </c>
      <c r="F18" s="6">
        <v>1</v>
      </c>
      <c r="G18" s="6">
        <v>25</v>
      </c>
      <c r="H18" s="6">
        <v>6</v>
      </c>
      <c r="I18" s="6">
        <v>2</v>
      </c>
      <c r="J18" s="6">
        <f t="shared" si="0"/>
        <v>113</v>
      </c>
      <c r="K18" s="6">
        <f t="shared" si="1"/>
        <v>8</v>
      </c>
      <c r="L18" s="6">
        <f t="shared" si="2"/>
        <v>56.5</v>
      </c>
    </row>
    <row r="19" spans="1:12" x14ac:dyDescent="0.35">
      <c r="A19" s="6" t="s">
        <v>50</v>
      </c>
      <c r="B19" s="6">
        <v>33</v>
      </c>
      <c r="C19" s="6">
        <v>39</v>
      </c>
      <c r="D19" s="6">
        <v>5</v>
      </c>
      <c r="E19" s="6">
        <v>12</v>
      </c>
      <c r="F19" s="6">
        <v>0</v>
      </c>
      <c r="G19" s="6">
        <v>13</v>
      </c>
      <c r="H19" s="6">
        <v>7</v>
      </c>
      <c r="I19" s="6">
        <v>3</v>
      </c>
      <c r="J19" s="6">
        <f t="shared" si="0"/>
        <v>112</v>
      </c>
      <c r="K19" s="6">
        <f t="shared" si="1"/>
        <v>7</v>
      </c>
      <c r="L19" s="6">
        <f t="shared" si="2"/>
        <v>55.8</v>
      </c>
    </row>
    <row r="20" spans="1:12" x14ac:dyDescent="0.35">
      <c r="A20" s="6" t="s">
        <v>29</v>
      </c>
      <c r="B20" s="6">
        <v>27</v>
      </c>
      <c r="C20" s="6">
        <v>23</v>
      </c>
      <c r="D20" s="6">
        <v>5</v>
      </c>
      <c r="E20" s="6">
        <v>20</v>
      </c>
      <c r="F20" s="6">
        <v>3</v>
      </c>
      <c r="G20" s="6">
        <v>28</v>
      </c>
      <c r="H20" s="6">
        <v>6</v>
      </c>
      <c r="I20" s="6">
        <v>0</v>
      </c>
      <c r="J20" s="6">
        <f t="shared" si="0"/>
        <v>112</v>
      </c>
      <c r="K20" s="6">
        <f t="shared" si="1"/>
        <v>7</v>
      </c>
      <c r="L20" s="6">
        <f t="shared" si="2"/>
        <v>55.8</v>
      </c>
    </row>
    <row r="21" spans="1:12" x14ac:dyDescent="0.35">
      <c r="A21" s="6" t="s">
        <v>21</v>
      </c>
      <c r="B21" s="6">
        <v>20</v>
      </c>
      <c r="C21" s="6">
        <v>35</v>
      </c>
      <c r="D21" s="6">
        <v>3</v>
      </c>
      <c r="E21" s="6">
        <v>24</v>
      </c>
      <c r="F21" s="6">
        <v>3</v>
      </c>
      <c r="G21" s="6">
        <v>22</v>
      </c>
      <c r="H21" s="6">
        <v>4</v>
      </c>
      <c r="I21" s="6">
        <v>0</v>
      </c>
      <c r="J21" s="6">
        <f t="shared" si="0"/>
        <v>111</v>
      </c>
      <c r="K21" s="6">
        <f t="shared" si="1"/>
        <v>7</v>
      </c>
      <c r="L21" s="6">
        <f t="shared" si="2"/>
        <v>55.1</v>
      </c>
    </row>
    <row r="22" spans="1:12" x14ac:dyDescent="0.35">
      <c r="A22" s="6" t="s">
        <v>23</v>
      </c>
      <c r="B22" s="6">
        <v>24</v>
      </c>
      <c r="C22" s="6">
        <v>25</v>
      </c>
      <c r="D22" s="6">
        <v>3</v>
      </c>
      <c r="E22" s="6">
        <v>16</v>
      </c>
      <c r="F22" s="6">
        <v>1</v>
      </c>
      <c r="G22" s="6">
        <v>24</v>
      </c>
      <c r="H22" s="6">
        <v>13</v>
      </c>
      <c r="I22" s="6">
        <v>2</v>
      </c>
      <c r="J22" s="6">
        <f t="shared" si="0"/>
        <v>108</v>
      </c>
      <c r="K22" s="6">
        <f t="shared" si="1"/>
        <v>8</v>
      </c>
      <c r="L22" s="6">
        <f t="shared" si="2"/>
        <v>52.9</v>
      </c>
    </row>
    <row r="23" spans="1:12" x14ac:dyDescent="0.35">
      <c r="A23" s="6" t="s">
        <v>31</v>
      </c>
      <c r="B23" s="6">
        <v>20</v>
      </c>
      <c r="C23" s="6">
        <v>33</v>
      </c>
      <c r="D23" s="6">
        <v>3</v>
      </c>
      <c r="E23" s="6">
        <v>24</v>
      </c>
      <c r="F23" s="6">
        <v>3</v>
      </c>
      <c r="G23" s="6">
        <v>21</v>
      </c>
      <c r="H23" s="6">
        <v>4</v>
      </c>
      <c r="I23" s="6">
        <v>0</v>
      </c>
      <c r="J23" s="6">
        <f t="shared" si="0"/>
        <v>108</v>
      </c>
      <c r="K23" s="6">
        <f t="shared" si="1"/>
        <v>7</v>
      </c>
      <c r="L23" s="6">
        <f t="shared" si="2"/>
        <v>52.9</v>
      </c>
    </row>
    <row r="24" spans="1:12" x14ac:dyDescent="0.35">
      <c r="A24" s="6" t="s">
        <v>27</v>
      </c>
      <c r="B24" s="6">
        <v>16</v>
      </c>
      <c r="C24" s="6">
        <v>40</v>
      </c>
      <c r="D24" s="6">
        <v>3</v>
      </c>
      <c r="E24" s="6">
        <v>13</v>
      </c>
      <c r="F24" s="6">
        <v>1</v>
      </c>
      <c r="G24" s="6">
        <v>26</v>
      </c>
      <c r="H24" s="6">
        <v>5</v>
      </c>
      <c r="I24" s="6">
        <v>3</v>
      </c>
      <c r="J24" s="6">
        <f t="shared" si="0"/>
        <v>107</v>
      </c>
      <c r="K24" s="6">
        <f t="shared" si="1"/>
        <v>8</v>
      </c>
      <c r="L24" s="6">
        <f t="shared" si="2"/>
        <v>52.2</v>
      </c>
    </row>
    <row r="25" spans="1:12" x14ac:dyDescent="0.35">
      <c r="A25" s="6" t="s">
        <v>52</v>
      </c>
      <c r="B25" s="6">
        <v>38</v>
      </c>
      <c r="C25" s="6">
        <v>35</v>
      </c>
      <c r="D25" s="6">
        <v>4</v>
      </c>
      <c r="E25" s="6">
        <v>13</v>
      </c>
      <c r="F25" s="6">
        <v>0</v>
      </c>
      <c r="G25" s="6">
        <v>14</v>
      </c>
      <c r="H25" s="6">
        <v>2</v>
      </c>
      <c r="I25" s="6">
        <v>0</v>
      </c>
      <c r="J25" s="6">
        <f t="shared" si="0"/>
        <v>106</v>
      </c>
      <c r="K25" s="6">
        <f t="shared" si="1"/>
        <v>6</v>
      </c>
      <c r="L25" s="6">
        <f t="shared" si="2"/>
        <v>51.4</v>
      </c>
    </row>
    <row r="26" spans="1:12" x14ac:dyDescent="0.35">
      <c r="A26" s="6" t="s">
        <v>34</v>
      </c>
      <c r="B26" s="6">
        <v>15</v>
      </c>
      <c r="C26" s="6">
        <v>15</v>
      </c>
      <c r="D26" s="6">
        <v>1</v>
      </c>
      <c r="E26" s="6">
        <v>29</v>
      </c>
      <c r="F26" s="6">
        <v>2</v>
      </c>
      <c r="G26" s="6">
        <v>33</v>
      </c>
      <c r="H26" s="6">
        <v>7</v>
      </c>
      <c r="I26" s="6">
        <v>0</v>
      </c>
      <c r="J26" s="6">
        <f t="shared" si="0"/>
        <v>102</v>
      </c>
      <c r="K26" s="6">
        <f t="shared" si="1"/>
        <v>7</v>
      </c>
      <c r="L26" s="6">
        <f t="shared" si="2"/>
        <v>48.6</v>
      </c>
    </row>
    <row r="27" spans="1:12" x14ac:dyDescent="0.35">
      <c r="A27" s="6" t="s">
        <v>47</v>
      </c>
      <c r="B27" s="6">
        <v>15</v>
      </c>
      <c r="C27" s="6">
        <v>15</v>
      </c>
      <c r="D27" s="6">
        <v>1</v>
      </c>
      <c r="E27" s="6">
        <v>29</v>
      </c>
      <c r="F27" s="6">
        <v>2</v>
      </c>
      <c r="G27" s="6">
        <v>33</v>
      </c>
      <c r="H27" s="6">
        <v>7</v>
      </c>
      <c r="I27" s="6">
        <v>0</v>
      </c>
      <c r="J27" s="6">
        <f t="shared" si="0"/>
        <v>102</v>
      </c>
      <c r="K27" s="6">
        <f t="shared" si="1"/>
        <v>7</v>
      </c>
      <c r="L27" s="6">
        <f t="shared" si="2"/>
        <v>48.6</v>
      </c>
    </row>
    <row r="28" spans="1:12" x14ac:dyDescent="0.35">
      <c r="A28" s="6" t="s">
        <v>59</v>
      </c>
      <c r="B28" s="6">
        <v>26</v>
      </c>
      <c r="C28" s="6">
        <v>18</v>
      </c>
      <c r="D28" s="6">
        <v>4</v>
      </c>
      <c r="E28" s="6">
        <v>26</v>
      </c>
      <c r="F28" s="6">
        <v>1</v>
      </c>
      <c r="G28" s="6">
        <v>20</v>
      </c>
      <c r="H28" s="6">
        <v>3</v>
      </c>
      <c r="I28" s="6">
        <v>1</v>
      </c>
      <c r="J28" s="6">
        <f t="shared" si="0"/>
        <v>99</v>
      </c>
      <c r="K28" s="6">
        <f t="shared" si="1"/>
        <v>8</v>
      </c>
      <c r="L28" s="6">
        <f t="shared" si="2"/>
        <v>46.4</v>
      </c>
    </row>
    <row r="29" spans="1:12" x14ac:dyDescent="0.35">
      <c r="A29" s="6" t="s">
        <v>54</v>
      </c>
      <c r="B29" s="6">
        <v>20</v>
      </c>
      <c r="C29" s="6">
        <v>26</v>
      </c>
      <c r="D29" s="6">
        <v>2</v>
      </c>
      <c r="E29" s="6">
        <v>20</v>
      </c>
      <c r="F29" s="6">
        <v>2</v>
      </c>
      <c r="G29" s="6">
        <v>23</v>
      </c>
      <c r="H29" s="6">
        <v>6</v>
      </c>
      <c r="I29" s="6">
        <v>0</v>
      </c>
      <c r="J29" s="6">
        <f t="shared" si="0"/>
        <v>99</v>
      </c>
      <c r="K29" s="6">
        <f t="shared" si="1"/>
        <v>7</v>
      </c>
      <c r="L29" s="6">
        <f t="shared" si="2"/>
        <v>46.4</v>
      </c>
    </row>
    <row r="30" spans="1:12" x14ac:dyDescent="0.35">
      <c r="A30" s="6" t="s">
        <v>44</v>
      </c>
      <c r="B30" s="6">
        <v>24</v>
      </c>
      <c r="C30" s="6">
        <v>15</v>
      </c>
      <c r="D30" s="6">
        <v>4</v>
      </c>
      <c r="E30" s="6">
        <v>22</v>
      </c>
      <c r="F30" s="6">
        <v>2</v>
      </c>
      <c r="G30" s="6">
        <v>20</v>
      </c>
      <c r="H30" s="6">
        <v>4</v>
      </c>
      <c r="I30" s="6">
        <v>1</v>
      </c>
      <c r="J30" s="6">
        <f t="shared" si="0"/>
        <v>92</v>
      </c>
      <c r="K30" s="6">
        <f t="shared" si="1"/>
        <v>8</v>
      </c>
      <c r="L30" s="6">
        <f t="shared" si="2"/>
        <v>41.3</v>
      </c>
    </row>
    <row r="31" spans="1:12" x14ac:dyDescent="0.35">
      <c r="A31" s="6" t="s">
        <v>32</v>
      </c>
      <c r="B31" s="6">
        <v>18</v>
      </c>
      <c r="C31" s="6">
        <v>12</v>
      </c>
      <c r="D31" s="6">
        <v>2</v>
      </c>
      <c r="E31" s="6">
        <v>10</v>
      </c>
      <c r="F31" s="6">
        <v>0</v>
      </c>
      <c r="G31" s="6">
        <v>14</v>
      </c>
      <c r="H31" s="6">
        <v>34</v>
      </c>
      <c r="I31" s="6">
        <v>0</v>
      </c>
      <c r="J31" s="6">
        <f t="shared" si="0"/>
        <v>90</v>
      </c>
      <c r="K31" s="6">
        <f t="shared" si="1"/>
        <v>6</v>
      </c>
      <c r="L31" s="6">
        <f t="shared" si="2"/>
        <v>39.9</v>
      </c>
    </row>
    <row r="32" spans="1:12" x14ac:dyDescent="0.35">
      <c r="A32" s="6" t="s">
        <v>36</v>
      </c>
      <c r="B32" s="6">
        <v>24</v>
      </c>
      <c r="C32" s="6">
        <v>30</v>
      </c>
      <c r="D32" s="6">
        <v>4</v>
      </c>
      <c r="E32" s="6">
        <v>15</v>
      </c>
      <c r="F32" s="6">
        <v>1</v>
      </c>
      <c r="G32" s="6">
        <v>13</v>
      </c>
      <c r="H32" s="6">
        <v>3</v>
      </c>
      <c r="I32" s="6">
        <v>0</v>
      </c>
      <c r="J32" s="6">
        <f t="shared" si="0"/>
        <v>90</v>
      </c>
      <c r="K32" s="6">
        <f t="shared" si="1"/>
        <v>7</v>
      </c>
      <c r="L32" s="6">
        <f t="shared" si="2"/>
        <v>39.9</v>
      </c>
    </row>
    <row r="33" spans="1:12" x14ac:dyDescent="0.35">
      <c r="A33" s="6" t="s">
        <v>42</v>
      </c>
      <c r="B33" s="6">
        <v>19</v>
      </c>
      <c r="C33" s="6">
        <v>33</v>
      </c>
      <c r="D33" s="6">
        <v>5</v>
      </c>
      <c r="E33" s="6">
        <v>13</v>
      </c>
      <c r="F33" s="6">
        <v>1</v>
      </c>
      <c r="G33" s="6">
        <v>11</v>
      </c>
      <c r="H33" s="6">
        <v>6</v>
      </c>
      <c r="I33" s="6">
        <v>0</v>
      </c>
      <c r="J33" s="6">
        <f t="shared" si="0"/>
        <v>88</v>
      </c>
      <c r="K33" s="6">
        <f t="shared" si="1"/>
        <v>7</v>
      </c>
      <c r="L33" s="6">
        <f t="shared" si="2"/>
        <v>38.4</v>
      </c>
    </row>
    <row r="34" spans="1:12" x14ac:dyDescent="0.35">
      <c r="A34" s="6" t="s">
        <v>25</v>
      </c>
      <c r="B34" s="6">
        <v>19</v>
      </c>
      <c r="C34" s="6">
        <v>32</v>
      </c>
      <c r="D34" s="6">
        <v>5</v>
      </c>
      <c r="E34" s="6">
        <v>13</v>
      </c>
      <c r="F34" s="6">
        <v>1</v>
      </c>
      <c r="G34" s="6">
        <v>11</v>
      </c>
      <c r="H34" s="6">
        <v>6</v>
      </c>
      <c r="I34" s="6">
        <v>0</v>
      </c>
      <c r="J34" s="6">
        <f t="shared" ref="J34:J65" si="3">SUM(B34:I34)</f>
        <v>87</v>
      </c>
      <c r="K34" s="6">
        <f t="shared" ref="K34:K65" si="4">COUNTIF(B34:I34,"&gt;0")</f>
        <v>7</v>
      </c>
      <c r="L34" s="6">
        <f t="shared" ref="L34:L65" si="5">ROUND((J34-MIN($J$2:$J$65))/(MAX($J$2:$J$65)-MIN($J$2:$J$65))*100,1)</f>
        <v>37.700000000000003</v>
      </c>
    </row>
    <row r="35" spans="1:12" x14ac:dyDescent="0.35">
      <c r="A35" s="6" t="s">
        <v>45</v>
      </c>
      <c r="B35" s="6">
        <v>19</v>
      </c>
      <c r="C35" s="6">
        <v>15</v>
      </c>
      <c r="D35" s="6">
        <v>4</v>
      </c>
      <c r="E35" s="6">
        <v>18</v>
      </c>
      <c r="F35" s="6">
        <v>1</v>
      </c>
      <c r="G35" s="6">
        <v>17</v>
      </c>
      <c r="H35" s="6">
        <v>12</v>
      </c>
      <c r="I35" s="6">
        <v>0</v>
      </c>
      <c r="J35" s="6">
        <f t="shared" si="3"/>
        <v>86</v>
      </c>
      <c r="K35" s="6">
        <f t="shared" si="4"/>
        <v>7</v>
      </c>
      <c r="L35" s="6">
        <f t="shared" si="5"/>
        <v>37</v>
      </c>
    </row>
    <row r="36" spans="1:12" x14ac:dyDescent="0.35">
      <c r="A36" s="6" t="s">
        <v>33</v>
      </c>
      <c r="B36" s="6">
        <v>16</v>
      </c>
      <c r="C36" s="6">
        <v>29</v>
      </c>
      <c r="D36" s="6">
        <v>3</v>
      </c>
      <c r="E36" s="6">
        <v>8</v>
      </c>
      <c r="F36" s="6">
        <v>0</v>
      </c>
      <c r="G36" s="6">
        <v>18</v>
      </c>
      <c r="H36" s="6">
        <v>9</v>
      </c>
      <c r="I36" s="6">
        <v>0</v>
      </c>
      <c r="J36" s="6">
        <f t="shared" si="3"/>
        <v>83</v>
      </c>
      <c r="K36" s="6">
        <f t="shared" si="4"/>
        <v>6</v>
      </c>
      <c r="L36" s="6">
        <f t="shared" si="5"/>
        <v>34.799999999999997</v>
      </c>
    </row>
    <row r="37" spans="1:12" x14ac:dyDescent="0.35">
      <c r="A37" s="6" t="s">
        <v>49</v>
      </c>
      <c r="B37" s="6">
        <v>10</v>
      </c>
      <c r="C37" s="6">
        <v>19</v>
      </c>
      <c r="D37" s="6">
        <v>2</v>
      </c>
      <c r="E37" s="6">
        <v>20</v>
      </c>
      <c r="F37" s="6">
        <v>3</v>
      </c>
      <c r="G37" s="6">
        <v>15</v>
      </c>
      <c r="H37" s="6">
        <v>8</v>
      </c>
      <c r="I37" s="6">
        <v>0</v>
      </c>
      <c r="J37" s="6">
        <f t="shared" si="3"/>
        <v>77</v>
      </c>
      <c r="K37" s="6">
        <f t="shared" si="4"/>
        <v>7</v>
      </c>
      <c r="L37" s="6">
        <f t="shared" si="5"/>
        <v>30.4</v>
      </c>
    </row>
    <row r="38" spans="1:12" x14ac:dyDescent="0.35">
      <c r="A38" s="6" t="s">
        <v>55</v>
      </c>
      <c r="B38" s="6">
        <v>21</v>
      </c>
      <c r="C38" s="6">
        <v>25</v>
      </c>
      <c r="D38" s="6">
        <v>0</v>
      </c>
      <c r="E38" s="6">
        <v>11</v>
      </c>
      <c r="F38" s="6">
        <v>0</v>
      </c>
      <c r="G38" s="6">
        <v>12</v>
      </c>
      <c r="H38" s="6">
        <v>6</v>
      </c>
      <c r="I38" s="6">
        <v>0</v>
      </c>
      <c r="J38" s="6">
        <f t="shared" si="3"/>
        <v>75</v>
      </c>
      <c r="K38" s="6">
        <f t="shared" si="4"/>
        <v>5</v>
      </c>
      <c r="L38" s="6">
        <f t="shared" si="5"/>
        <v>29</v>
      </c>
    </row>
    <row r="39" spans="1:12" x14ac:dyDescent="0.35">
      <c r="A39" s="6" t="s">
        <v>60</v>
      </c>
      <c r="B39" s="6">
        <v>9</v>
      </c>
      <c r="C39" s="6">
        <v>13</v>
      </c>
      <c r="D39" s="6">
        <v>2</v>
      </c>
      <c r="E39" s="6">
        <v>21</v>
      </c>
      <c r="F39" s="6">
        <v>0</v>
      </c>
      <c r="G39" s="6">
        <v>11</v>
      </c>
      <c r="H39" s="6">
        <v>16</v>
      </c>
      <c r="I39" s="6">
        <v>0</v>
      </c>
      <c r="J39" s="6">
        <f t="shared" si="3"/>
        <v>72</v>
      </c>
      <c r="K39" s="6">
        <f t="shared" si="4"/>
        <v>6</v>
      </c>
      <c r="L39" s="6">
        <f t="shared" si="5"/>
        <v>26.8</v>
      </c>
    </row>
    <row r="40" spans="1:12" x14ac:dyDescent="0.35">
      <c r="A40" s="6" t="s">
        <v>67</v>
      </c>
      <c r="B40" s="6">
        <v>15</v>
      </c>
      <c r="C40" s="6">
        <v>22</v>
      </c>
      <c r="D40" s="6">
        <v>2</v>
      </c>
      <c r="E40" s="6">
        <v>7</v>
      </c>
      <c r="F40" s="6">
        <v>0</v>
      </c>
      <c r="G40" s="6">
        <v>17</v>
      </c>
      <c r="H40" s="6">
        <v>9</v>
      </c>
      <c r="I40" s="6">
        <v>0</v>
      </c>
      <c r="J40" s="6">
        <f t="shared" si="3"/>
        <v>72</v>
      </c>
      <c r="K40" s="6">
        <f t="shared" si="4"/>
        <v>6</v>
      </c>
      <c r="L40" s="6">
        <f t="shared" si="5"/>
        <v>26.8</v>
      </c>
    </row>
    <row r="41" spans="1:12" x14ac:dyDescent="0.35">
      <c r="A41" s="6" t="s">
        <v>68</v>
      </c>
      <c r="B41" s="6">
        <v>9</v>
      </c>
      <c r="C41" s="6">
        <v>5</v>
      </c>
      <c r="D41" s="6">
        <v>1</v>
      </c>
      <c r="E41" s="6">
        <v>22</v>
      </c>
      <c r="F41" s="6">
        <v>1</v>
      </c>
      <c r="G41" s="6">
        <v>17</v>
      </c>
      <c r="H41" s="6">
        <v>16</v>
      </c>
      <c r="I41" s="6">
        <v>0</v>
      </c>
      <c r="J41" s="6">
        <f t="shared" si="3"/>
        <v>71</v>
      </c>
      <c r="K41" s="6">
        <f t="shared" si="4"/>
        <v>7</v>
      </c>
      <c r="L41" s="6">
        <f t="shared" si="5"/>
        <v>26.1</v>
      </c>
    </row>
    <row r="42" spans="1:12" x14ac:dyDescent="0.35">
      <c r="A42" s="6" t="s">
        <v>53</v>
      </c>
      <c r="B42" s="6">
        <v>13</v>
      </c>
      <c r="C42" s="6">
        <v>10</v>
      </c>
      <c r="D42" s="6">
        <v>4</v>
      </c>
      <c r="E42" s="6">
        <v>20</v>
      </c>
      <c r="F42" s="6">
        <v>0</v>
      </c>
      <c r="G42" s="6">
        <v>17</v>
      </c>
      <c r="H42" s="6">
        <v>6</v>
      </c>
      <c r="I42" s="6">
        <v>1</v>
      </c>
      <c r="J42" s="6">
        <f t="shared" si="3"/>
        <v>71</v>
      </c>
      <c r="K42" s="6">
        <f t="shared" si="4"/>
        <v>7</v>
      </c>
      <c r="L42" s="6">
        <f t="shared" si="5"/>
        <v>26.1</v>
      </c>
    </row>
    <row r="43" spans="1:12" x14ac:dyDescent="0.35">
      <c r="A43" s="6" t="s">
        <v>62</v>
      </c>
      <c r="B43" s="6">
        <v>15</v>
      </c>
      <c r="C43" s="6">
        <v>22</v>
      </c>
      <c r="D43" s="6">
        <v>2</v>
      </c>
      <c r="E43" s="6">
        <v>6</v>
      </c>
      <c r="F43" s="6">
        <v>0</v>
      </c>
      <c r="G43" s="6">
        <v>16</v>
      </c>
      <c r="H43" s="6">
        <v>9</v>
      </c>
      <c r="I43" s="6">
        <v>0</v>
      </c>
      <c r="J43" s="6">
        <f t="shared" si="3"/>
        <v>70</v>
      </c>
      <c r="K43" s="6">
        <f t="shared" si="4"/>
        <v>6</v>
      </c>
      <c r="L43" s="6">
        <f t="shared" si="5"/>
        <v>25.4</v>
      </c>
    </row>
    <row r="44" spans="1:12" x14ac:dyDescent="0.35">
      <c r="A44" s="6" t="s">
        <v>39</v>
      </c>
      <c r="B44" s="6">
        <v>10</v>
      </c>
      <c r="C44" s="6">
        <v>11</v>
      </c>
      <c r="D44" s="6">
        <v>3</v>
      </c>
      <c r="E44" s="6">
        <v>14</v>
      </c>
      <c r="F44" s="6">
        <v>0</v>
      </c>
      <c r="G44" s="6">
        <v>26</v>
      </c>
      <c r="H44" s="6">
        <v>6</v>
      </c>
      <c r="I44" s="6">
        <v>0</v>
      </c>
      <c r="J44" s="6">
        <f t="shared" si="3"/>
        <v>70</v>
      </c>
      <c r="K44" s="6">
        <f t="shared" si="4"/>
        <v>6</v>
      </c>
      <c r="L44" s="6">
        <f t="shared" si="5"/>
        <v>25.4</v>
      </c>
    </row>
    <row r="45" spans="1:12" x14ac:dyDescent="0.35">
      <c r="A45" s="6" t="s">
        <v>57</v>
      </c>
      <c r="B45" s="6">
        <v>17</v>
      </c>
      <c r="C45" s="6">
        <v>23</v>
      </c>
      <c r="D45" s="6">
        <v>1</v>
      </c>
      <c r="E45" s="6">
        <v>5</v>
      </c>
      <c r="F45" s="6">
        <v>0</v>
      </c>
      <c r="G45" s="6">
        <v>11</v>
      </c>
      <c r="H45" s="6">
        <v>11</v>
      </c>
      <c r="I45" s="6">
        <v>0</v>
      </c>
      <c r="J45" s="6">
        <f t="shared" si="3"/>
        <v>68</v>
      </c>
      <c r="K45" s="6">
        <f t="shared" si="4"/>
        <v>6</v>
      </c>
      <c r="L45" s="6">
        <f t="shared" si="5"/>
        <v>23.9</v>
      </c>
    </row>
    <row r="46" spans="1:12" x14ac:dyDescent="0.35">
      <c r="A46" s="6" t="s">
        <v>28</v>
      </c>
      <c r="B46" s="6">
        <v>22</v>
      </c>
      <c r="C46" s="6">
        <v>14</v>
      </c>
      <c r="D46" s="6">
        <v>1</v>
      </c>
      <c r="E46" s="6">
        <v>12</v>
      </c>
      <c r="F46" s="6">
        <v>0</v>
      </c>
      <c r="G46" s="6">
        <v>13</v>
      </c>
      <c r="H46" s="6">
        <v>6</v>
      </c>
      <c r="I46" s="6">
        <v>0</v>
      </c>
      <c r="J46" s="6">
        <f t="shared" si="3"/>
        <v>68</v>
      </c>
      <c r="K46" s="6">
        <f t="shared" si="4"/>
        <v>6</v>
      </c>
      <c r="L46" s="6">
        <f t="shared" si="5"/>
        <v>23.9</v>
      </c>
    </row>
    <row r="47" spans="1:12" x14ac:dyDescent="0.35">
      <c r="A47" s="6" t="s">
        <v>46</v>
      </c>
      <c r="B47" s="6">
        <v>13</v>
      </c>
      <c r="C47" s="6">
        <v>25</v>
      </c>
      <c r="D47" s="6">
        <v>2</v>
      </c>
      <c r="E47" s="6">
        <v>7</v>
      </c>
      <c r="F47" s="6">
        <v>0</v>
      </c>
      <c r="G47" s="6">
        <v>17</v>
      </c>
      <c r="H47" s="6">
        <v>4</v>
      </c>
      <c r="I47" s="6">
        <v>0</v>
      </c>
      <c r="J47" s="6">
        <f t="shared" si="3"/>
        <v>68</v>
      </c>
      <c r="K47" s="6">
        <f t="shared" si="4"/>
        <v>6</v>
      </c>
      <c r="L47" s="6">
        <f t="shared" si="5"/>
        <v>23.9</v>
      </c>
    </row>
    <row r="48" spans="1:12" x14ac:dyDescent="0.35">
      <c r="A48" s="6" t="s">
        <v>72</v>
      </c>
      <c r="B48" s="6">
        <v>10</v>
      </c>
      <c r="C48" s="6">
        <v>11</v>
      </c>
      <c r="D48" s="6">
        <v>3</v>
      </c>
      <c r="E48" s="6">
        <v>13</v>
      </c>
      <c r="F48" s="6">
        <v>0</v>
      </c>
      <c r="G48" s="6">
        <v>24</v>
      </c>
      <c r="H48" s="6">
        <v>6</v>
      </c>
      <c r="I48" s="6">
        <v>0</v>
      </c>
      <c r="J48" s="6">
        <f t="shared" si="3"/>
        <v>67</v>
      </c>
      <c r="K48" s="6">
        <f t="shared" si="4"/>
        <v>6</v>
      </c>
      <c r="L48" s="6">
        <f t="shared" si="5"/>
        <v>23.2</v>
      </c>
    </row>
    <row r="49" spans="1:12" x14ac:dyDescent="0.35">
      <c r="A49" s="6" t="s">
        <v>63</v>
      </c>
      <c r="B49" s="6">
        <v>21</v>
      </c>
      <c r="C49" s="6">
        <v>13</v>
      </c>
      <c r="D49" s="6">
        <v>0</v>
      </c>
      <c r="E49" s="6">
        <v>15</v>
      </c>
      <c r="F49" s="6">
        <v>0</v>
      </c>
      <c r="G49" s="6">
        <v>11</v>
      </c>
      <c r="H49" s="6">
        <v>6</v>
      </c>
      <c r="I49" s="6">
        <v>0</v>
      </c>
      <c r="J49" s="6">
        <f t="shared" si="3"/>
        <v>66</v>
      </c>
      <c r="K49" s="6">
        <f t="shared" si="4"/>
        <v>5</v>
      </c>
      <c r="L49" s="6">
        <f t="shared" si="5"/>
        <v>22.5</v>
      </c>
    </row>
    <row r="50" spans="1:12" x14ac:dyDescent="0.35">
      <c r="A50" s="6" t="s">
        <v>66</v>
      </c>
      <c r="B50" s="6">
        <v>10</v>
      </c>
      <c r="C50" s="6">
        <v>7</v>
      </c>
      <c r="D50" s="6">
        <v>2</v>
      </c>
      <c r="E50" s="6">
        <v>9</v>
      </c>
      <c r="F50" s="6">
        <v>0</v>
      </c>
      <c r="G50" s="6">
        <v>11</v>
      </c>
      <c r="H50" s="6">
        <v>26</v>
      </c>
      <c r="I50" s="6">
        <v>0</v>
      </c>
      <c r="J50" s="6">
        <f t="shared" si="3"/>
        <v>65</v>
      </c>
      <c r="K50" s="6">
        <f t="shared" si="4"/>
        <v>6</v>
      </c>
      <c r="L50" s="6">
        <f t="shared" si="5"/>
        <v>21.7</v>
      </c>
    </row>
    <row r="51" spans="1:12" x14ac:dyDescent="0.35">
      <c r="A51" s="6" t="s">
        <v>43</v>
      </c>
      <c r="B51" s="6">
        <v>14</v>
      </c>
      <c r="C51" s="6">
        <v>14</v>
      </c>
      <c r="D51" s="6">
        <v>3</v>
      </c>
      <c r="E51" s="6">
        <v>15</v>
      </c>
      <c r="F51" s="6">
        <v>0</v>
      </c>
      <c r="G51" s="6">
        <v>15</v>
      </c>
      <c r="H51" s="6">
        <v>2</v>
      </c>
      <c r="I51" s="6">
        <v>0</v>
      </c>
      <c r="J51" s="6">
        <f t="shared" si="3"/>
        <v>63</v>
      </c>
      <c r="K51" s="6">
        <f t="shared" si="4"/>
        <v>6</v>
      </c>
      <c r="L51" s="6">
        <f t="shared" si="5"/>
        <v>20.3</v>
      </c>
    </row>
    <row r="52" spans="1:12" x14ac:dyDescent="0.35">
      <c r="A52" s="6" t="s">
        <v>48</v>
      </c>
      <c r="B52" s="6">
        <v>13</v>
      </c>
      <c r="C52" s="6">
        <v>7</v>
      </c>
      <c r="D52" s="6">
        <v>0</v>
      </c>
      <c r="E52" s="6">
        <v>13</v>
      </c>
      <c r="F52" s="6">
        <v>0</v>
      </c>
      <c r="G52" s="6">
        <v>19</v>
      </c>
      <c r="H52" s="6">
        <v>8</v>
      </c>
      <c r="I52" s="6">
        <v>1</v>
      </c>
      <c r="J52" s="6">
        <f t="shared" si="3"/>
        <v>61</v>
      </c>
      <c r="K52" s="6">
        <f t="shared" si="4"/>
        <v>6</v>
      </c>
      <c r="L52" s="6">
        <f t="shared" si="5"/>
        <v>18.8</v>
      </c>
    </row>
    <row r="53" spans="1:12" x14ac:dyDescent="0.35">
      <c r="A53" s="6" t="s">
        <v>64</v>
      </c>
      <c r="B53" s="6">
        <v>12</v>
      </c>
      <c r="C53" s="6">
        <v>16</v>
      </c>
      <c r="D53" s="6">
        <v>3</v>
      </c>
      <c r="E53" s="6">
        <v>10</v>
      </c>
      <c r="F53" s="6">
        <v>0</v>
      </c>
      <c r="G53" s="6">
        <v>15</v>
      </c>
      <c r="H53" s="6">
        <v>4</v>
      </c>
      <c r="I53" s="6">
        <v>0</v>
      </c>
      <c r="J53" s="6">
        <f t="shared" si="3"/>
        <v>60</v>
      </c>
      <c r="K53" s="6">
        <f t="shared" si="4"/>
        <v>6</v>
      </c>
      <c r="L53" s="6">
        <f t="shared" si="5"/>
        <v>18.100000000000001</v>
      </c>
    </row>
    <row r="54" spans="1:12" x14ac:dyDescent="0.35">
      <c r="A54" s="6" t="s">
        <v>73</v>
      </c>
      <c r="B54" s="6">
        <v>12</v>
      </c>
      <c r="C54" s="6">
        <v>14</v>
      </c>
      <c r="D54" s="6">
        <v>3</v>
      </c>
      <c r="E54" s="6">
        <v>13</v>
      </c>
      <c r="F54" s="6">
        <v>0</v>
      </c>
      <c r="G54" s="6">
        <v>15</v>
      </c>
      <c r="H54" s="6">
        <v>1</v>
      </c>
      <c r="I54" s="6">
        <v>0</v>
      </c>
      <c r="J54" s="6">
        <f t="shared" si="3"/>
        <v>58</v>
      </c>
      <c r="K54" s="6">
        <f t="shared" si="4"/>
        <v>6</v>
      </c>
      <c r="L54" s="6">
        <f t="shared" si="5"/>
        <v>16.7</v>
      </c>
    </row>
    <row r="55" spans="1:12" x14ac:dyDescent="0.35">
      <c r="A55" s="6" t="s">
        <v>61</v>
      </c>
      <c r="B55" s="6">
        <v>12</v>
      </c>
      <c r="C55" s="6">
        <v>12</v>
      </c>
      <c r="D55" s="6">
        <v>1</v>
      </c>
      <c r="E55" s="6">
        <v>16</v>
      </c>
      <c r="F55" s="6">
        <v>2</v>
      </c>
      <c r="G55" s="6">
        <v>13</v>
      </c>
      <c r="H55" s="6">
        <v>1</v>
      </c>
      <c r="I55" s="6">
        <v>0</v>
      </c>
      <c r="J55" s="6">
        <f t="shared" si="3"/>
        <v>57</v>
      </c>
      <c r="K55" s="6">
        <f t="shared" si="4"/>
        <v>7</v>
      </c>
      <c r="L55" s="6">
        <f t="shared" si="5"/>
        <v>15.9</v>
      </c>
    </row>
    <row r="56" spans="1:12" x14ac:dyDescent="0.35">
      <c r="A56" s="6" t="s">
        <v>70</v>
      </c>
      <c r="B56" s="6">
        <v>13</v>
      </c>
      <c r="C56" s="6">
        <v>13</v>
      </c>
      <c r="D56" s="6">
        <v>1</v>
      </c>
      <c r="E56" s="6">
        <v>15</v>
      </c>
      <c r="F56" s="6">
        <v>0</v>
      </c>
      <c r="G56" s="6">
        <v>13</v>
      </c>
      <c r="H56" s="6">
        <v>1</v>
      </c>
      <c r="I56" s="6">
        <v>0</v>
      </c>
      <c r="J56" s="6">
        <f t="shared" si="3"/>
        <v>56</v>
      </c>
      <c r="K56" s="6">
        <f t="shared" si="4"/>
        <v>6</v>
      </c>
      <c r="L56" s="6">
        <f t="shared" si="5"/>
        <v>15.2</v>
      </c>
    </row>
    <row r="57" spans="1:12" x14ac:dyDescent="0.35">
      <c r="A57" s="6" t="s">
        <v>56</v>
      </c>
      <c r="B57" s="6">
        <v>8</v>
      </c>
      <c r="C57" s="6">
        <v>16</v>
      </c>
      <c r="D57" s="6">
        <v>2</v>
      </c>
      <c r="E57" s="6">
        <v>10</v>
      </c>
      <c r="F57" s="6">
        <v>1</v>
      </c>
      <c r="G57" s="6">
        <v>15</v>
      </c>
      <c r="H57" s="6">
        <v>2</v>
      </c>
      <c r="I57" s="6">
        <v>0</v>
      </c>
      <c r="J57" s="6">
        <f t="shared" si="3"/>
        <v>54</v>
      </c>
      <c r="K57" s="6">
        <f t="shared" si="4"/>
        <v>7</v>
      </c>
      <c r="L57" s="6">
        <f t="shared" si="5"/>
        <v>13.8</v>
      </c>
    </row>
    <row r="58" spans="1:12" x14ac:dyDescent="0.35">
      <c r="A58" s="6" t="s">
        <v>65</v>
      </c>
      <c r="B58" s="6">
        <v>13</v>
      </c>
      <c r="C58" s="6">
        <v>11</v>
      </c>
      <c r="D58" s="6">
        <v>0</v>
      </c>
      <c r="E58" s="6">
        <v>11</v>
      </c>
      <c r="F58" s="6">
        <v>0</v>
      </c>
      <c r="G58" s="6">
        <v>12</v>
      </c>
      <c r="H58" s="6">
        <v>3</v>
      </c>
      <c r="I58" s="6">
        <v>0</v>
      </c>
      <c r="J58" s="6">
        <f t="shared" si="3"/>
        <v>50</v>
      </c>
      <c r="K58" s="6">
        <f t="shared" si="4"/>
        <v>5</v>
      </c>
      <c r="L58" s="6">
        <f t="shared" si="5"/>
        <v>10.9</v>
      </c>
    </row>
    <row r="59" spans="1:12" x14ac:dyDescent="0.35">
      <c r="A59" s="6" t="s">
        <v>71</v>
      </c>
      <c r="B59" s="6">
        <v>13</v>
      </c>
      <c r="C59" s="6">
        <v>14</v>
      </c>
      <c r="D59" s="6">
        <v>0</v>
      </c>
      <c r="E59" s="6">
        <v>8</v>
      </c>
      <c r="F59" s="6">
        <v>1</v>
      </c>
      <c r="G59" s="6">
        <v>8</v>
      </c>
      <c r="H59" s="6">
        <v>5</v>
      </c>
      <c r="I59" s="6">
        <v>0</v>
      </c>
      <c r="J59" s="6">
        <f t="shared" si="3"/>
        <v>49</v>
      </c>
      <c r="K59" s="6">
        <f t="shared" si="4"/>
        <v>6</v>
      </c>
      <c r="L59" s="6">
        <f t="shared" si="5"/>
        <v>10.1</v>
      </c>
    </row>
    <row r="60" spans="1:12" x14ac:dyDescent="0.35">
      <c r="A60" s="6" t="s">
        <v>58</v>
      </c>
      <c r="B60" s="6">
        <v>11</v>
      </c>
      <c r="C60" s="6">
        <v>8</v>
      </c>
      <c r="D60" s="6">
        <v>2</v>
      </c>
      <c r="E60" s="6">
        <v>15</v>
      </c>
      <c r="F60" s="6">
        <v>3</v>
      </c>
      <c r="G60" s="6">
        <v>3</v>
      </c>
      <c r="H60" s="6">
        <v>2</v>
      </c>
      <c r="I60" s="6">
        <v>0</v>
      </c>
      <c r="J60" s="6">
        <f t="shared" si="3"/>
        <v>44</v>
      </c>
      <c r="K60" s="6">
        <f t="shared" si="4"/>
        <v>7</v>
      </c>
      <c r="L60" s="6">
        <f t="shared" si="5"/>
        <v>6.5</v>
      </c>
    </row>
    <row r="61" spans="1:12" x14ac:dyDescent="0.35">
      <c r="A61" s="6" t="s">
        <v>51</v>
      </c>
      <c r="B61" s="6">
        <v>12</v>
      </c>
      <c r="C61" s="6">
        <v>9</v>
      </c>
      <c r="D61" s="6">
        <v>0</v>
      </c>
      <c r="E61" s="6">
        <v>8</v>
      </c>
      <c r="F61" s="6">
        <v>0</v>
      </c>
      <c r="G61" s="6">
        <v>11</v>
      </c>
      <c r="H61" s="6">
        <v>2</v>
      </c>
      <c r="I61" s="6">
        <v>0</v>
      </c>
      <c r="J61" s="6">
        <f t="shared" si="3"/>
        <v>42</v>
      </c>
      <c r="K61" s="6">
        <f t="shared" si="4"/>
        <v>5</v>
      </c>
      <c r="L61" s="6">
        <f t="shared" si="5"/>
        <v>5.0999999999999996</v>
      </c>
    </row>
    <row r="62" spans="1:12" x14ac:dyDescent="0.35">
      <c r="A62" s="6" t="s">
        <v>74</v>
      </c>
      <c r="B62" s="6">
        <v>9</v>
      </c>
      <c r="C62" s="6">
        <v>4</v>
      </c>
      <c r="D62" s="6">
        <v>0</v>
      </c>
      <c r="E62" s="6">
        <v>9</v>
      </c>
      <c r="F62" s="6">
        <v>0</v>
      </c>
      <c r="G62" s="6">
        <v>15</v>
      </c>
      <c r="H62" s="6">
        <v>5</v>
      </c>
      <c r="I62" s="6">
        <v>0</v>
      </c>
      <c r="J62" s="6">
        <f t="shared" si="3"/>
        <v>42</v>
      </c>
      <c r="K62" s="6">
        <f t="shared" si="4"/>
        <v>5</v>
      </c>
      <c r="L62" s="6">
        <f t="shared" si="5"/>
        <v>5.0999999999999996</v>
      </c>
    </row>
    <row r="63" spans="1:12" x14ac:dyDescent="0.35">
      <c r="A63" s="6" t="s">
        <v>76</v>
      </c>
      <c r="B63" s="6">
        <v>9</v>
      </c>
      <c r="C63" s="6">
        <v>4</v>
      </c>
      <c r="D63" s="6">
        <v>0</v>
      </c>
      <c r="E63" s="6">
        <v>9</v>
      </c>
      <c r="F63" s="6">
        <v>0</v>
      </c>
      <c r="G63" s="6">
        <v>13</v>
      </c>
      <c r="H63" s="6">
        <v>5</v>
      </c>
      <c r="I63" s="6">
        <v>0</v>
      </c>
      <c r="J63" s="6">
        <f t="shared" si="3"/>
        <v>40</v>
      </c>
      <c r="K63" s="6">
        <f t="shared" si="4"/>
        <v>5</v>
      </c>
      <c r="L63" s="6">
        <f t="shared" si="5"/>
        <v>3.6</v>
      </c>
    </row>
    <row r="64" spans="1:12" x14ac:dyDescent="0.35">
      <c r="A64" s="6" t="s">
        <v>75</v>
      </c>
      <c r="B64" s="6">
        <v>9</v>
      </c>
      <c r="C64" s="6">
        <v>7</v>
      </c>
      <c r="D64" s="6">
        <v>2</v>
      </c>
      <c r="E64" s="6">
        <v>14</v>
      </c>
      <c r="F64" s="6">
        <v>3</v>
      </c>
      <c r="G64" s="6">
        <v>3</v>
      </c>
      <c r="H64" s="6">
        <v>2</v>
      </c>
      <c r="I64" s="6">
        <v>0</v>
      </c>
      <c r="J64" s="6">
        <f t="shared" si="3"/>
        <v>40</v>
      </c>
      <c r="K64" s="6">
        <f t="shared" si="4"/>
        <v>7</v>
      </c>
      <c r="L64" s="6">
        <f t="shared" si="5"/>
        <v>3.6</v>
      </c>
    </row>
    <row r="65" spans="1:12" x14ac:dyDescent="0.35">
      <c r="A65" s="6" t="s">
        <v>69</v>
      </c>
      <c r="B65" s="6">
        <v>10</v>
      </c>
      <c r="C65" s="6">
        <v>3</v>
      </c>
      <c r="D65" s="6">
        <v>2</v>
      </c>
      <c r="E65" s="6">
        <v>6</v>
      </c>
      <c r="F65" s="6">
        <v>1</v>
      </c>
      <c r="G65" s="6">
        <v>8</v>
      </c>
      <c r="H65" s="6">
        <v>5</v>
      </c>
      <c r="I65" s="6">
        <v>0</v>
      </c>
      <c r="J65" s="6">
        <f t="shared" si="3"/>
        <v>35</v>
      </c>
      <c r="K65" s="6">
        <f t="shared" si="4"/>
        <v>7</v>
      </c>
      <c r="L65" s="6">
        <f t="shared" si="5"/>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65"/>
  <sheetViews>
    <sheetView zoomScaleNormal="100" workbookViewId="0">
      <pane ySplit="1" topLeftCell="A2" activePane="bottomLeft" state="frozen"/>
      <selection pane="bottomLeft" activeCell="D3" sqref="D3"/>
    </sheetView>
  </sheetViews>
  <sheetFormatPr defaultColWidth="8.6328125" defaultRowHeight="14.5" x14ac:dyDescent="0.35"/>
  <cols>
    <col min="1" max="1" width="45" customWidth="1"/>
    <col min="2" max="3" width="25" customWidth="1"/>
    <col min="4" max="4" width="22" customWidth="1"/>
    <col min="5" max="6" width="19" customWidth="1"/>
    <col min="7" max="8" width="27" customWidth="1"/>
    <col min="9" max="9" width="17" customWidth="1"/>
    <col min="10" max="10" width="28" customWidth="1"/>
    <col min="11" max="11" width="18" customWidth="1"/>
    <col min="12" max="12" width="23" customWidth="1"/>
    <col min="13" max="13" width="25" customWidth="1"/>
    <col min="14" max="15" width="30" customWidth="1"/>
    <col min="16" max="16" width="31" customWidth="1"/>
    <col min="17" max="17" width="29" customWidth="1"/>
  </cols>
  <sheetData>
    <row r="1" spans="1:17" x14ac:dyDescent="0.35">
      <c r="A1" s="4" t="s">
        <v>1</v>
      </c>
      <c r="B1" s="4" t="s">
        <v>111</v>
      </c>
      <c r="C1" s="4" t="s">
        <v>112</v>
      </c>
      <c r="D1" s="4" t="s">
        <v>4</v>
      </c>
      <c r="E1" s="4" t="s">
        <v>113</v>
      </c>
      <c r="F1" s="4" t="s">
        <v>114</v>
      </c>
      <c r="G1" s="4" t="s">
        <v>115</v>
      </c>
      <c r="H1" s="4" t="s">
        <v>116</v>
      </c>
      <c r="I1" s="4" t="s">
        <v>117</v>
      </c>
      <c r="J1" s="4" t="s">
        <v>118</v>
      </c>
      <c r="K1" s="4" t="s">
        <v>119</v>
      </c>
      <c r="L1" s="4" t="s">
        <v>120</v>
      </c>
      <c r="M1" s="4" t="s">
        <v>121</v>
      </c>
      <c r="N1" s="4" t="s">
        <v>122</v>
      </c>
      <c r="O1" s="4" t="s">
        <v>123</v>
      </c>
      <c r="P1" s="4" t="s">
        <v>124</v>
      </c>
      <c r="Q1" s="4" t="s">
        <v>125</v>
      </c>
    </row>
    <row r="2" spans="1:17" x14ac:dyDescent="0.35">
      <c r="A2" s="6" t="s">
        <v>10</v>
      </c>
      <c r="B2" s="6">
        <f t="shared" ref="B2:B33" si="0">COUNTIF(E2:L2,"Ya")</f>
        <v>6</v>
      </c>
      <c r="C2" s="6">
        <f t="shared" ref="C2:C33" si="1">COUNTIF(M2:Q2,"Ya")</f>
        <v>0</v>
      </c>
      <c r="D2" s="6">
        <f t="shared" ref="D2:D33" si="2">ROUND(MAX((B2/8)*100-(C2*12),0),1)</f>
        <v>75</v>
      </c>
      <c r="E2" s="6" t="s">
        <v>126</v>
      </c>
      <c r="F2" s="6" t="s">
        <v>126</v>
      </c>
      <c r="G2" s="6" t="s">
        <v>126</v>
      </c>
      <c r="H2" s="6" t="s">
        <v>126</v>
      </c>
      <c r="I2" s="6" t="s">
        <v>126</v>
      </c>
      <c r="J2" s="6" t="s">
        <v>127</v>
      </c>
      <c r="K2" s="6" t="s">
        <v>126</v>
      </c>
      <c r="L2" s="6" t="s">
        <v>127</v>
      </c>
      <c r="M2" s="6" t="s">
        <v>127</v>
      </c>
      <c r="N2" s="6" t="s">
        <v>127</v>
      </c>
      <c r="O2" s="6" t="s">
        <v>127</v>
      </c>
      <c r="P2" s="6" t="s">
        <v>127</v>
      </c>
      <c r="Q2" s="6" t="s">
        <v>127</v>
      </c>
    </row>
    <row r="3" spans="1:17" x14ac:dyDescent="0.35">
      <c r="A3" s="6" t="s">
        <v>13</v>
      </c>
      <c r="B3" s="6">
        <f t="shared" si="0"/>
        <v>6</v>
      </c>
      <c r="C3" s="6">
        <f t="shared" si="1"/>
        <v>1</v>
      </c>
      <c r="D3" s="6">
        <f t="shared" si="2"/>
        <v>63</v>
      </c>
      <c r="E3" s="6" t="s">
        <v>126</v>
      </c>
      <c r="F3" s="6" t="s">
        <v>126</v>
      </c>
      <c r="G3" s="6" t="s">
        <v>126</v>
      </c>
      <c r="H3" s="6" t="s">
        <v>126</v>
      </c>
      <c r="I3" s="6" t="s">
        <v>127</v>
      </c>
      <c r="J3" s="6" t="s">
        <v>126</v>
      </c>
      <c r="K3" s="6" t="s">
        <v>126</v>
      </c>
      <c r="L3" s="6" t="s">
        <v>127</v>
      </c>
      <c r="M3" s="6" t="s">
        <v>127</v>
      </c>
      <c r="N3" s="6" t="s">
        <v>127</v>
      </c>
      <c r="O3" s="6" t="s">
        <v>126</v>
      </c>
      <c r="P3" s="6" t="s">
        <v>127</v>
      </c>
      <c r="Q3" s="6" t="s">
        <v>127</v>
      </c>
    </row>
    <row r="4" spans="1:17" x14ac:dyDescent="0.35">
      <c r="A4" s="6" t="s">
        <v>15</v>
      </c>
      <c r="B4" s="6">
        <f t="shared" si="0"/>
        <v>6</v>
      </c>
      <c r="C4" s="6">
        <f t="shared" si="1"/>
        <v>2</v>
      </c>
      <c r="D4" s="6">
        <f t="shared" si="2"/>
        <v>51</v>
      </c>
      <c r="E4" s="6" t="s">
        <v>126</v>
      </c>
      <c r="F4" s="6" t="s">
        <v>126</v>
      </c>
      <c r="G4" s="6" t="s">
        <v>126</v>
      </c>
      <c r="H4" s="6" t="s">
        <v>126</v>
      </c>
      <c r="I4" s="6" t="s">
        <v>126</v>
      </c>
      <c r="J4" s="6" t="s">
        <v>127</v>
      </c>
      <c r="K4" s="6" t="s">
        <v>126</v>
      </c>
      <c r="L4" s="6" t="s">
        <v>127</v>
      </c>
      <c r="M4" s="6" t="s">
        <v>127</v>
      </c>
      <c r="N4" s="6" t="s">
        <v>126</v>
      </c>
      <c r="O4" s="6" t="s">
        <v>127</v>
      </c>
      <c r="P4" s="6" t="s">
        <v>127</v>
      </c>
      <c r="Q4" s="6" t="s">
        <v>126</v>
      </c>
    </row>
    <row r="5" spans="1:17" x14ac:dyDescent="0.35">
      <c r="A5" s="6" t="s">
        <v>43</v>
      </c>
      <c r="B5" s="6">
        <f t="shared" si="0"/>
        <v>5</v>
      </c>
      <c r="C5" s="6">
        <f t="shared" si="1"/>
        <v>1</v>
      </c>
      <c r="D5" s="6">
        <f t="shared" si="2"/>
        <v>50.5</v>
      </c>
      <c r="E5" s="6" t="s">
        <v>126</v>
      </c>
      <c r="F5" s="6" t="s">
        <v>126</v>
      </c>
      <c r="G5" s="6" t="s">
        <v>126</v>
      </c>
      <c r="H5" s="6" t="s">
        <v>127</v>
      </c>
      <c r="I5" s="6" t="s">
        <v>126</v>
      </c>
      <c r="J5" s="6" t="s">
        <v>126</v>
      </c>
      <c r="K5" s="6" t="s">
        <v>127</v>
      </c>
      <c r="L5" s="6" t="s">
        <v>127</v>
      </c>
      <c r="M5" s="6" t="s">
        <v>127</v>
      </c>
      <c r="N5" s="6" t="s">
        <v>126</v>
      </c>
      <c r="O5" s="6" t="s">
        <v>127</v>
      </c>
      <c r="P5" s="6" t="s">
        <v>127</v>
      </c>
      <c r="Q5" s="6" t="s">
        <v>127</v>
      </c>
    </row>
    <row r="6" spans="1:17" x14ac:dyDescent="0.35">
      <c r="A6" s="6" t="s">
        <v>25</v>
      </c>
      <c r="B6" s="6">
        <f t="shared" si="0"/>
        <v>5</v>
      </c>
      <c r="C6" s="6">
        <f t="shared" si="1"/>
        <v>1</v>
      </c>
      <c r="D6" s="6">
        <f t="shared" si="2"/>
        <v>50.5</v>
      </c>
      <c r="E6" s="6" t="s">
        <v>126</v>
      </c>
      <c r="F6" s="6" t="s">
        <v>126</v>
      </c>
      <c r="G6" s="6" t="s">
        <v>126</v>
      </c>
      <c r="H6" s="6" t="s">
        <v>127</v>
      </c>
      <c r="I6" s="6" t="s">
        <v>126</v>
      </c>
      <c r="J6" s="6" t="s">
        <v>127</v>
      </c>
      <c r="K6" s="6" t="s">
        <v>126</v>
      </c>
      <c r="L6" s="6" t="s">
        <v>127</v>
      </c>
      <c r="M6" s="6" t="s">
        <v>127</v>
      </c>
      <c r="N6" s="6" t="s">
        <v>127</v>
      </c>
      <c r="O6" s="6" t="s">
        <v>127</v>
      </c>
      <c r="P6" s="6" t="s">
        <v>127</v>
      </c>
      <c r="Q6" s="6" t="s">
        <v>126</v>
      </c>
    </row>
    <row r="7" spans="1:17" x14ac:dyDescent="0.35">
      <c r="A7" s="6" t="s">
        <v>12</v>
      </c>
      <c r="B7" s="6">
        <f t="shared" si="0"/>
        <v>4</v>
      </c>
      <c r="C7" s="6">
        <f t="shared" si="1"/>
        <v>0</v>
      </c>
      <c r="D7" s="6">
        <f t="shared" si="2"/>
        <v>50</v>
      </c>
      <c r="E7" s="6" t="s">
        <v>127</v>
      </c>
      <c r="F7" s="6" t="s">
        <v>126</v>
      </c>
      <c r="G7" s="6" t="s">
        <v>126</v>
      </c>
      <c r="H7" s="6" t="s">
        <v>126</v>
      </c>
      <c r="I7" s="6" t="s">
        <v>126</v>
      </c>
      <c r="J7" s="6" t="s">
        <v>127</v>
      </c>
      <c r="K7" s="6" t="s">
        <v>127</v>
      </c>
      <c r="L7" s="6" t="s">
        <v>127</v>
      </c>
      <c r="M7" s="6" t="s">
        <v>127</v>
      </c>
      <c r="N7" s="6" t="s">
        <v>127</v>
      </c>
      <c r="O7" s="6" t="s">
        <v>127</v>
      </c>
      <c r="P7" s="6" t="s">
        <v>127</v>
      </c>
      <c r="Q7" s="6" t="s">
        <v>127</v>
      </c>
    </row>
    <row r="8" spans="1:17" x14ac:dyDescent="0.35">
      <c r="A8" s="6" t="s">
        <v>28</v>
      </c>
      <c r="B8" s="6">
        <f t="shared" si="0"/>
        <v>4</v>
      </c>
      <c r="C8" s="6">
        <f t="shared" si="1"/>
        <v>0</v>
      </c>
      <c r="D8" s="6">
        <f t="shared" si="2"/>
        <v>50</v>
      </c>
      <c r="E8" s="6" t="s">
        <v>126</v>
      </c>
      <c r="F8" s="6" t="s">
        <v>126</v>
      </c>
      <c r="G8" s="6" t="s">
        <v>126</v>
      </c>
      <c r="H8" s="6" t="s">
        <v>126</v>
      </c>
      <c r="I8" s="6" t="s">
        <v>127</v>
      </c>
      <c r="J8" s="6" t="s">
        <v>127</v>
      </c>
      <c r="K8" s="6" t="s">
        <v>127</v>
      </c>
      <c r="L8" s="6" t="s">
        <v>127</v>
      </c>
      <c r="M8" s="6" t="s">
        <v>127</v>
      </c>
      <c r="N8" s="6" t="s">
        <v>127</v>
      </c>
      <c r="O8" s="6" t="s">
        <v>127</v>
      </c>
      <c r="P8" s="6" t="s">
        <v>127</v>
      </c>
      <c r="Q8" s="6" t="s">
        <v>127</v>
      </c>
    </row>
    <row r="9" spans="1:17" x14ac:dyDescent="0.35">
      <c r="A9" s="6" t="s">
        <v>22</v>
      </c>
      <c r="B9" s="6">
        <f t="shared" si="0"/>
        <v>4</v>
      </c>
      <c r="C9" s="6">
        <f t="shared" si="1"/>
        <v>0</v>
      </c>
      <c r="D9" s="6">
        <f t="shared" si="2"/>
        <v>50</v>
      </c>
      <c r="E9" s="6" t="s">
        <v>126</v>
      </c>
      <c r="F9" s="6" t="s">
        <v>126</v>
      </c>
      <c r="G9" s="6" t="s">
        <v>127</v>
      </c>
      <c r="H9" s="6" t="s">
        <v>126</v>
      </c>
      <c r="I9" s="6" t="s">
        <v>126</v>
      </c>
      <c r="J9" s="6" t="s">
        <v>127</v>
      </c>
      <c r="K9" s="6" t="s">
        <v>127</v>
      </c>
      <c r="L9" s="6" t="s">
        <v>127</v>
      </c>
      <c r="M9" s="6" t="s">
        <v>127</v>
      </c>
      <c r="N9" s="6" t="s">
        <v>127</v>
      </c>
      <c r="O9" s="6" t="s">
        <v>127</v>
      </c>
      <c r="P9" s="6" t="s">
        <v>127</v>
      </c>
      <c r="Q9" s="6" t="s">
        <v>127</v>
      </c>
    </row>
    <row r="10" spans="1:17" x14ac:dyDescent="0.35">
      <c r="A10" s="6" t="s">
        <v>27</v>
      </c>
      <c r="B10" s="6">
        <f t="shared" si="0"/>
        <v>4</v>
      </c>
      <c r="C10" s="6">
        <f t="shared" si="1"/>
        <v>0</v>
      </c>
      <c r="D10" s="6">
        <f t="shared" si="2"/>
        <v>50</v>
      </c>
      <c r="E10" s="6" t="s">
        <v>127</v>
      </c>
      <c r="F10" s="6" t="s">
        <v>126</v>
      </c>
      <c r="G10" s="6" t="s">
        <v>126</v>
      </c>
      <c r="H10" s="6" t="s">
        <v>126</v>
      </c>
      <c r="I10" s="6" t="s">
        <v>126</v>
      </c>
      <c r="J10" s="6" t="s">
        <v>127</v>
      </c>
      <c r="K10" s="6" t="s">
        <v>127</v>
      </c>
      <c r="L10" s="6" t="s">
        <v>127</v>
      </c>
      <c r="M10" s="6" t="s">
        <v>127</v>
      </c>
      <c r="N10" s="6" t="s">
        <v>127</v>
      </c>
      <c r="O10" s="6" t="s">
        <v>127</v>
      </c>
      <c r="P10" s="6" t="s">
        <v>127</v>
      </c>
      <c r="Q10" s="6" t="s">
        <v>127</v>
      </c>
    </row>
    <row r="11" spans="1:17" x14ac:dyDescent="0.35">
      <c r="A11" s="6" t="s">
        <v>18</v>
      </c>
      <c r="B11" s="6">
        <f t="shared" si="0"/>
        <v>6</v>
      </c>
      <c r="C11" s="6">
        <f t="shared" si="1"/>
        <v>3</v>
      </c>
      <c r="D11" s="6">
        <f t="shared" si="2"/>
        <v>39</v>
      </c>
      <c r="E11" s="6" t="s">
        <v>126</v>
      </c>
      <c r="F11" s="6" t="s">
        <v>126</v>
      </c>
      <c r="G11" s="6" t="s">
        <v>126</v>
      </c>
      <c r="H11" s="6" t="s">
        <v>126</v>
      </c>
      <c r="I11" s="6" t="s">
        <v>127</v>
      </c>
      <c r="J11" s="6" t="s">
        <v>126</v>
      </c>
      <c r="K11" s="6" t="s">
        <v>126</v>
      </c>
      <c r="L11" s="6" t="s">
        <v>127</v>
      </c>
      <c r="M11" s="6" t="s">
        <v>127</v>
      </c>
      <c r="N11" s="6" t="s">
        <v>126</v>
      </c>
      <c r="O11" s="6" t="s">
        <v>126</v>
      </c>
      <c r="P11" s="6" t="s">
        <v>127</v>
      </c>
      <c r="Q11" s="6" t="s">
        <v>126</v>
      </c>
    </row>
    <row r="12" spans="1:17" x14ac:dyDescent="0.35">
      <c r="A12" s="6" t="s">
        <v>58</v>
      </c>
      <c r="B12" s="6">
        <f t="shared" si="0"/>
        <v>4</v>
      </c>
      <c r="C12" s="6">
        <f t="shared" si="1"/>
        <v>1</v>
      </c>
      <c r="D12" s="6">
        <f t="shared" si="2"/>
        <v>38</v>
      </c>
      <c r="E12" s="6" t="s">
        <v>126</v>
      </c>
      <c r="F12" s="6" t="s">
        <v>126</v>
      </c>
      <c r="G12" s="6" t="s">
        <v>126</v>
      </c>
      <c r="H12" s="6" t="s">
        <v>127</v>
      </c>
      <c r="I12" s="6" t="s">
        <v>127</v>
      </c>
      <c r="J12" s="6" t="s">
        <v>126</v>
      </c>
      <c r="K12" s="6" t="s">
        <v>127</v>
      </c>
      <c r="L12" s="6" t="s">
        <v>127</v>
      </c>
      <c r="M12" s="6" t="s">
        <v>127</v>
      </c>
      <c r="N12" s="6" t="s">
        <v>126</v>
      </c>
      <c r="O12" s="6" t="s">
        <v>127</v>
      </c>
      <c r="P12" s="6" t="s">
        <v>127</v>
      </c>
      <c r="Q12" s="6" t="s">
        <v>127</v>
      </c>
    </row>
    <row r="13" spans="1:17" x14ac:dyDescent="0.35">
      <c r="A13" s="6" t="s">
        <v>56</v>
      </c>
      <c r="B13" s="6">
        <f t="shared" si="0"/>
        <v>4</v>
      </c>
      <c r="C13" s="6">
        <f t="shared" si="1"/>
        <v>1</v>
      </c>
      <c r="D13" s="6">
        <f t="shared" si="2"/>
        <v>38</v>
      </c>
      <c r="E13" s="6" t="s">
        <v>126</v>
      </c>
      <c r="F13" s="6" t="s">
        <v>126</v>
      </c>
      <c r="G13" s="6" t="s">
        <v>126</v>
      </c>
      <c r="H13" s="6" t="s">
        <v>127</v>
      </c>
      <c r="I13" s="6" t="s">
        <v>126</v>
      </c>
      <c r="J13" s="6" t="s">
        <v>127</v>
      </c>
      <c r="K13" s="6" t="s">
        <v>127</v>
      </c>
      <c r="L13" s="6" t="s">
        <v>127</v>
      </c>
      <c r="M13" s="6" t="s">
        <v>127</v>
      </c>
      <c r="N13" s="6" t="s">
        <v>126</v>
      </c>
      <c r="O13" s="6" t="s">
        <v>127</v>
      </c>
      <c r="P13" s="6" t="s">
        <v>127</v>
      </c>
      <c r="Q13" s="6" t="s">
        <v>127</v>
      </c>
    </row>
    <row r="14" spans="1:17" x14ac:dyDescent="0.35">
      <c r="A14" s="6" t="s">
        <v>30</v>
      </c>
      <c r="B14" s="6">
        <f t="shared" si="0"/>
        <v>3</v>
      </c>
      <c r="C14" s="6">
        <f t="shared" si="1"/>
        <v>0</v>
      </c>
      <c r="D14" s="6">
        <f t="shared" si="2"/>
        <v>37.5</v>
      </c>
      <c r="E14" s="6" t="s">
        <v>127</v>
      </c>
      <c r="F14" s="6" t="s">
        <v>126</v>
      </c>
      <c r="G14" s="6" t="s">
        <v>127</v>
      </c>
      <c r="H14" s="6" t="s">
        <v>126</v>
      </c>
      <c r="I14" s="6" t="s">
        <v>126</v>
      </c>
      <c r="J14" s="6" t="s">
        <v>127</v>
      </c>
      <c r="K14" s="6" t="s">
        <v>127</v>
      </c>
      <c r="L14" s="6" t="s">
        <v>127</v>
      </c>
      <c r="M14" s="6" t="s">
        <v>127</v>
      </c>
      <c r="N14" s="6" t="s">
        <v>127</v>
      </c>
      <c r="O14" s="6" t="s">
        <v>127</v>
      </c>
      <c r="P14" s="6" t="s">
        <v>127</v>
      </c>
      <c r="Q14" s="6" t="s">
        <v>127</v>
      </c>
    </row>
    <row r="15" spans="1:17" x14ac:dyDescent="0.35">
      <c r="A15" s="6" t="s">
        <v>48</v>
      </c>
      <c r="B15" s="6">
        <f t="shared" si="0"/>
        <v>3</v>
      </c>
      <c r="C15" s="6">
        <f t="shared" si="1"/>
        <v>0</v>
      </c>
      <c r="D15" s="6">
        <f t="shared" si="2"/>
        <v>37.5</v>
      </c>
      <c r="E15" s="6" t="s">
        <v>126</v>
      </c>
      <c r="F15" s="6" t="s">
        <v>126</v>
      </c>
      <c r="G15" s="6" t="s">
        <v>126</v>
      </c>
      <c r="H15" s="6" t="s">
        <v>127</v>
      </c>
      <c r="I15" s="6" t="s">
        <v>127</v>
      </c>
      <c r="J15" s="6" t="s">
        <v>127</v>
      </c>
      <c r="K15" s="6" t="s">
        <v>127</v>
      </c>
      <c r="L15" s="6" t="s">
        <v>127</v>
      </c>
      <c r="M15" s="6" t="s">
        <v>127</v>
      </c>
      <c r="N15" s="6" t="s">
        <v>127</v>
      </c>
      <c r="O15" s="6" t="s">
        <v>127</v>
      </c>
      <c r="P15" s="6" t="s">
        <v>127</v>
      </c>
      <c r="Q15" s="6" t="s">
        <v>127</v>
      </c>
    </row>
    <row r="16" spans="1:17" x14ac:dyDescent="0.35">
      <c r="A16" s="6" t="s">
        <v>51</v>
      </c>
      <c r="B16" s="6">
        <f t="shared" si="0"/>
        <v>3</v>
      </c>
      <c r="C16" s="6">
        <f t="shared" si="1"/>
        <v>0</v>
      </c>
      <c r="D16" s="6">
        <f t="shared" si="2"/>
        <v>37.5</v>
      </c>
      <c r="E16" s="6" t="s">
        <v>126</v>
      </c>
      <c r="F16" s="6" t="s">
        <v>126</v>
      </c>
      <c r="G16" s="6" t="s">
        <v>126</v>
      </c>
      <c r="H16" s="6" t="s">
        <v>127</v>
      </c>
      <c r="I16" s="6" t="s">
        <v>127</v>
      </c>
      <c r="J16" s="6" t="s">
        <v>127</v>
      </c>
      <c r="K16" s="6" t="s">
        <v>127</v>
      </c>
      <c r="L16" s="6" t="s">
        <v>127</v>
      </c>
      <c r="M16" s="6" t="s">
        <v>127</v>
      </c>
      <c r="N16" s="6" t="s">
        <v>127</v>
      </c>
      <c r="O16" s="6" t="s">
        <v>127</v>
      </c>
      <c r="P16" s="6" t="s">
        <v>127</v>
      </c>
      <c r="Q16" s="6" t="s">
        <v>127</v>
      </c>
    </row>
    <row r="17" spans="1:17" x14ac:dyDescent="0.35">
      <c r="A17" s="6" t="s">
        <v>34</v>
      </c>
      <c r="B17" s="6">
        <f t="shared" si="0"/>
        <v>3</v>
      </c>
      <c r="C17" s="6">
        <f t="shared" si="1"/>
        <v>0</v>
      </c>
      <c r="D17" s="6">
        <f t="shared" si="2"/>
        <v>37.5</v>
      </c>
      <c r="E17" s="6" t="s">
        <v>127</v>
      </c>
      <c r="F17" s="6" t="s">
        <v>126</v>
      </c>
      <c r="G17" s="6" t="s">
        <v>126</v>
      </c>
      <c r="H17" s="6" t="s">
        <v>126</v>
      </c>
      <c r="I17" s="6" t="s">
        <v>127</v>
      </c>
      <c r="J17" s="6" t="s">
        <v>127</v>
      </c>
      <c r="K17" s="6" t="s">
        <v>127</v>
      </c>
      <c r="L17" s="6" t="s">
        <v>127</v>
      </c>
      <c r="M17" s="6" t="s">
        <v>127</v>
      </c>
      <c r="N17" s="6" t="s">
        <v>127</v>
      </c>
      <c r="O17" s="6" t="s">
        <v>127</v>
      </c>
      <c r="P17" s="6" t="s">
        <v>127</v>
      </c>
      <c r="Q17" s="6" t="s">
        <v>127</v>
      </c>
    </row>
    <row r="18" spans="1:17" x14ac:dyDescent="0.35">
      <c r="A18" s="6" t="s">
        <v>23</v>
      </c>
      <c r="B18" s="6">
        <f t="shared" si="0"/>
        <v>6</v>
      </c>
      <c r="C18" s="6">
        <f t="shared" si="1"/>
        <v>4</v>
      </c>
      <c r="D18" s="6">
        <f t="shared" si="2"/>
        <v>27</v>
      </c>
      <c r="E18" s="6" t="s">
        <v>126</v>
      </c>
      <c r="F18" s="6" t="s">
        <v>126</v>
      </c>
      <c r="G18" s="6" t="s">
        <v>126</v>
      </c>
      <c r="H18" s="6" t="s">
        <v>126</v>
      </c>
      <c r="I18" s="6" t="s">
        <v>126</v>
      </c>
      <c r="J18" s="6" t="s">
        <v>127</v>
      </c>
      <c r="K18" s="6" t="s">
        <v>126</v>
      </c>
      <c r="L18" s="6" t="s">
        <v>127</v>
      </c>
      <c r="M18" s="6" t="s">
        <v>126</v>
      </c>
      <c r="N18" s="6" t="s">
        <v>126</v>
      </c>
      <c r="O18" s="6" t="s">
        <v>127</v>
      </c>
      <c r="P18" s="6" t="s">
        <v>126</v>
      </c>
      <c r="Q18" s="6" t="s">
        <v>126</v>
      </c>
    </row>
    <row r="19" spans="1:17" x14ac:dyDescent="0.35">
      <c r="A19" s="6" t="s">
        <v>38</v>
      </c>
      <c r="B19" s="6">
        <f t="shared" si="0"/>
        <v>5</v>
      </c>
      <c r="C19" s="6">
        <f t="shared" si="1"/>
        <v>3</v>
      </c>
      <c r="D19" s="6">
        <f t="shared" si="2"/>
        <v>26.5</v>
      </c>
      <c r="E19" s="6" t="s">
        <v>126</v>
      </c>
      <c r="F19" s="6" t="s">
        <v>126</v>
      </c>
      <c r="G19" s="6" t="s">
        <v>126</v>
      </c>
      <c r="H19" s="6" t="s">
        <v>126</v>
      </c>
      <c r="I19" s="6" t="s">
        <v>126</v>
      </c>
      <c r="J19" s="6" t="s">
        <v>127</v>
      </c>
      <c r="K19" s="6" t="s">
        <v>127</v>
      </c>
      <c r="L19" s="6" t="s">
        <v>127</v>
      </c>
      <c r="M19" s="6" t="s">
        <v>127</v>
      </c>
      <c r="N19" s="6" t="s">
        <v>127</v>
      </c>
      <c r="O19" s="6" t="s">
        <v>126</v>
      </c>
      <c r="P19" s="6" t="s">
        <v>126</v>
      </c>
      <c r="Q19" s="6" t="s">
        <v>126</v>
      </c>
    </row>
    <row r="20" spans="1:17" x14ac:dyDescent="0.35">
      <c r="A20" s="6" t="s">
        <v>16</v>
      </c>
      <c r="B20" s="6">
        <f t="shared" si="0"/>
        <v>5</v>
      </c>
      <c r="C20" s="6">
        <f t="shared" si="1"/>
        <v>3</v>
      </c>
      <c r="D20" s="6">
        <f t="shared" si="2"/>
        <v>26.5</v>
      </c>
      <c r="E20" s="6" t="s">
        <v>126</v>
      </c>
      <c r="F20" s="6" t="s">
        <v>126</v>
      </c>
      <c r="G20" s="6" t="s">
        <v>126</v>
      </c>
      <c r="H20" s="6" t="s">
        <v>126</v>
      </c>
      <c r="I20" s="6" t="s">
        <v>127</v>
      </c>
      <c r="J20" s="6" t="s">
        <v>126</v>
      </c>
      <c r="K20" s="6" t="s">
        <v>127</v>
      </c>
      <c r="L20" s="6" t="s">
        <v>127</v>
      </c>
      <c r="M20" s="6" t="s">
        <v>126</v>
      </c>
      <c r="N20" s="6" t="s">
        <v>126</v>
      </c>
      <c r="O20" s="6" t="s">
        <v>126</v>
      </c>
      <c r="P20" s="6" t="s">
        <v>127</v>
      </c>
      <c r="Q20" s="6" t="s">
        <v>127</v>
      </c>
    </row>
    <row r="21" spans="1:17" x14ac:dyDescent="0.35">
      <c r="A21" s="6" t="s">
        <v>37</v>
      </c>
      <c r="B21" s="6">
        <f t="shared" si="0"/>
        <v>3</v>
      </c>
      <c r="C21" s="6">
        <f t="shared" si="1"/>
        <v>1</v>
      </c>
      <c r="D21" s="6">
        <f t="shared" si="2"/>
        <v>25.5</v>
      </c>
      <c r="E21" s="6" t="s">
        <v>126</v>
      </c>
      <c r="F21" s="6" t="s">
        <v>126</v>
      </c>
      <c r="G21" s="6" t="s">
        <v>127</v>
      </c>
      <c r="H21" s="6" t="s">
        <v>127</v>
      </c>
      <c r="I21" s="6" t="s">
        <v>126</v>
      </c>
      <c r="J21" s="6" t="s">
        <v>127</v>
      </c>
      <c r="K21" s="6" t="s">
        <v>127</v>
      </c>
      <c r="L21" s="6" t="s">
        <v>127</v>
      </c>
      <c r="M21" s="6" t="s">
        <v>127</v>
      </c>
      <c r="N21" s="6" t="s">
        <v>127</v>
      </c>
      <c r="O21" s="6" t="s">
        <v>127</v>
      </c>
      <c r="P21" s="6" t="s">
        <v>126</v>
      </c>
      <c r="Q21" s="6" t="s">
        <v>127</v>
      </c>
    </row>
    <row r="22" spans="1:17" x14ac:dyDescent="0.35">
      <c r="A22" s="6" t="s">
        <v>21</v>
      </c>
      <c r="B22" s="6">
        <f t="shared" si="0"/>
        <v>3</v>
      </c>
      <c r="C22" s="6">
        <f t="shared" si="1"/>
        <v>1</v>
      </c>
      <c r="D22" s="6">
        <f t="shared" si="2"/>
        <v>25.5</v>
      </c>
      <c r="E22" s="6" t="s">
        <v>126</v>
      </c>
      <c r="F22" s="6" t="s">
        <v>127</v>
      </c>
      <c r="G22" s="6" t="s">
        <v>127</v>
      </c>
      <c r="H22" s="6" t="s">
        <v>126</v>
      </c>
      <c r="I22" s="6" t="s">
        <v>127</v>
      </c>
      <c r="J22" s="6" t="s">
        <v>126</v>
      </c>
      <c r="K22" s="6" t="s">
        <v>127</v>
      </c>
      <c r="L22" s="6" t="s">
        <v>127</v>
      </c>
      <c r="M22" s="6" t="s">
        <v>127</v>
      </c>
      <c r="N22" s="6" t="s">
        <v>126</v>
      </c>
      <c r="O22" s="6" t="s">
        <v>127</v>
      </c>
      <c r="P22" s="6" t="s">
        <v>127</v>
      </c>
      <c r="Q22" s="6" t="s">
        <v>127</v>
      </c>
    </row>
    <row r="23" spans="1:17" x14ac:dyDescent="0.35">
      <c r="A23" s="6" t="s">
        <v>61</v>
      </c>
      <c r="B23" s="6">
        <f t="shared" si="0"/>
        <v>2</v>
      </c>
      <c r="C23" s="6">
        <f t="shared" si="1"/>
        <v>0</v>
      </c>
      <c r="D23" s="6">
        <f t="shared" si="2"/>
        <v>25</v>
      </c>
      <c r="E23" s="6" t="s">
        <v>127</v>
      </c>
      <c r="F23" s="6" t="s">
        <v>126</v>
      </c>
      <c r="G23" s="6" t="s">
        <v>126</v>
      </c>
      <c r="H23" s="6" t="s">
        <v>127</v>
      </c>
      <c r="I23" s="6" t="s">
        <v>127</v>
      </c>
      <c r="J23" s="6" t="s">
        <v>127</v>
      </c>
      <c r="K23" s="6" t="s">
        <v>127</v>
      </c>
      <c r="L23" s="6" t="s">
        <v>127</v>
      </c>
      <c r="M23" s="6" t="s">
        <v>127</v>
      </c>
      <c r="N23" s="6" t="s">
        <v>127</v>
      </c>
      <c r="O23" s="6" t="s">
        <v>127</v>
      </c>
      <c r="P23" s="6" t="s">
        <v>127</v>
      </c>
      <c r="Q23" s="6" t="s">
        <v>127</v>
      </c>
    </row>
    <row r="24" spans="1:17" x14ac:dyDescent="0.35">
      <c r="A24" s="6" t="s">
        <v>42</v>
      </c>
      <c r="B24" s="6">
        <f t="shared" si="0"/>
        <v>2</v>
      </c>
      <c r="C24" s="6">
        <f t="shared" si="1"/>
        <v>0</v>
      </c>
      <c r="D24" s="6">
        <f t="shared" si="2"/>
        <v>25</v>
      </c>
      <c r="E24" s="6" t="s">
        <v>127</v>
      </c>
      <c r="F24" s="6" t="s">
        <v>126</v>
      </c>
      <c r="G24" s="6" t="s">
        <v>127</v>
      </c>
      <c r="H24" s="6" t="s">
        <v>126</v>
      </c>
      <c r="I24" s="6" t="s">
        <v>127</v>
      </c>
      <c r="J24" s="6" t="s">
        <v>127</v>
      </c>
      <c r="K24" s="6" t="s">
        <v>127</v>
      </c>
      <c r="L24" s="6" t="s">
        <v>127</v>
      </c>
      <c r="M24" s="6" t="s">
        <v>127</v>
      </c>
      <c r="N24" s="6" t="s">
        <v>127</v>
      </c>
      <c r="O24" s="6" t="s">
        <v>127</v>
      </c>
      <c r="P24" s="6" t="s">
        <v>127</v>
      </c>
      <c r="Q24" s="6" t="s">
        <v>127</v>
      </c>
    </row>
    <row r="25" spans="1:17" x14ac:dyDescent="0.35">
      <c r="A25" s="6" t="s">
        <v>17</v>
      </c>
      <c r="B25" s="6">
        <f t="shared" si="0"/>
        <v>2</v>
      </c>
      <c r="C25" s="6">
        <f t="shared" si="1"/>
        <v>0</v>
      </c>
      <c r="D25" s="6">
        <f t="shared" si="2"/>
        <v>25</v>
      </c>
      <c r="E25" s="6" t="s">
        <v>127</v>
      </c>
      <c r="F25" s="6" t="s">
        <v>126</v>
      </c>
      <c r="G25" s="6" t="s">
        <v>126</v>
      </c>
      <c r="H25" s="6" t="s">
        <v>127</v>
      </c>
      <c r="I25" s="6" t="s">
        <v>127</v>
      </c>
      <c r="J25" s="6" t="s">
        <v>127</v>
      </c>
      <c r="K25" s="6" t="s">
        <v>127</v>
      </c>
      <c r="L25" s="6" t="s">
        <v>127</v>
      </c>
      <c r="M25" s="6" t="s">
        <v>127</v>
      </c>
      <c r="N25" s="6" t="s">
        <v>127</v>
      </c>
      <c r="O25" s="6" t="s">
        <v>127</v>
      </c>
      <c r="P25" s="6" t="s">
        <v>127</v>
      </c>
      <c r="Q25" s="6" t="s">
        <v>127</v>
      </c>
    </row>
    <row r="26" spans="1:17" x14ac:dyDescent="0.35">
      <c r="A26" s="6" t="s">
        <v>65</v>
      </c>
      <c r="B26" s="6">
        <f t="shared" si="0"/>
        <v>2</v>
      </c>
      <c r="C26" s="6">
        <f t="shared" si="1"/>
        <v>0</v>
      </c>
      <c r="D26" s="6">
        <f t="shared" si="2"/>
        <v>25</v>
      </c>
      <c r="E26" s="6" t="s">
        <v>127</v>
      </c>
      <c r="F26" s="6" t="s">
        <v>126</v>
      </c>
      <c r="G26" s="6" t="s">
        <v>126</v>
      </c>
      <c r="H26" s="6" t="s">
        <v>127</v>
      </c>
      <c r="I26" s="6" t="s">
        <v>127</v>
      </c>
      <c r="J26" s="6" t="s">
        <v>127</v>
      </c>
      <c r="K26" s="6" t="s">
        <v>127</v>
      </c>
      <c r="L26" s="6" t="s">
        <v>127</v>
      </c>
      <c r="M26" s="6" t="s">
        <v>127</v>
      </c>
      <c r="N26" s="6" t="s">
        <v>127</v>
      </c>
      <c r="O26" s="6" t="s">
        <v>127</v>
      </c>
      <c r="P26" s="6" t="s">
        <v>127</v>
      </c>
      <c r="Q26" s="6" t="s">
        <v>127</v>
      </c>
    </row>
    <row r="27" spans="1:17" x14ac:dyDescent="0.35">
      <c r="A27" s="6" t="s">
        <v>24</v>
      </c>
      <c r="B27" s="6">
        <f t="shared" si="0"/>
        <v>2</v>
      </c>
      <c r="C27" s="6">
        <f t="shared" si="1"/>
        <v>0</v>
      </c>
      <c r="D27" s="6">
        <f t="shared" si="2"/>
        <v>25</v>
      </c>
      <c r="E27" s="6" t="s">
        <v>126</v>
      </c>
      <c r="F27" s="6" t="s">
        <v>126</v>
      </c>
      <c r="G27" s="6" t="s">
        <v>127</v>
      </c>
      <c r="H27" s="6" t="s">
        <v>127</v>
      </c>
      <c r="I27" s="6" t="s">
        <v>127</v>
      </c>
      <c r="J27" s="6" t="s">
        <v>127</v>
      </c>
      <c r="K27" s="6" t="s">
        <v>127</v>
      </c>
      <c r="L27" s="6" t="s">
        <v>127</v>
      </c>
      <c r="M27" s="6" t="s">
        <v>127</v>
      </c>
      <c r="N27" s="6" t="s">
        <v>127</v>
      </c>
      <c r="O27" s="6" t="s">
        <v>127</v>
      </c>
      <c r="P27" s="6" t="s">
        <v>127</v>
      </c>
      <c r="Q27" s="6" t="s">
        <v>127</v>
      </c>
    </row>
    <row r="28" spans="1:17" x14ac:dyDescent="0.35">
      <c r="A28" s="6" t="s">
        <v>29</v>
      </c>
      <c r="B28" s="6">
        <f t="shared" si="0"/>
        <v>2</v>
      </c>
      <c r="C28" s="6">
        <f t="shared" si="1"/>
        <v>0</v>
      </c>
      <c r="D28" s="6">
        <f t="shared" si="2"/>
        <v>25</v>
      </c>
      <c r="E28" s="6" t="s">
        <v>127</v>
      </c>
      <c r="F28" s="6" t="s">
        <v>126</v>
      </c>
      <c r="G28" s="6" t="s">
        <v>127</v>
      </c>
      <c r="H28" s="6" t="s">
        <v>127</v>
      </c>
      <c r="I28" s="6" t="s">
        <v>127</v>
      </c>
      <c r="J28" s="6" t="s">
        <v>127</v>
      </c>
      <c r="K28" s="6" t="s">
        <v>126</v>
      </c>
      <c r="L28" s="6" t="s">
        <v>127</v>
      </c>
      <c r="M28" s="6" t="s">
        <v>127</v>
      </c>
      <c r="N28" s="6" t="s">
        <v>127</v>
      </c>
      <c r="O28" s="6" t="s">
        <v>127</v>
      </c>
      <c r="P28" s="6" t="s">
        <v>127</v>
      </c>
      <c r="Q28" s="6" t="s">
        <v>127</v>
      </c>
    </row>
    <row r="29" spans="1:17" x14ac:dyDescent="0.35">
      <c r="A29" s="6" t="s">
        <v>36</v>
      </c>
      <c r="B29" s="6">
        <f t="shared" si="0"/>
        <v>2</v>
      </c>
      <c r="C29" s="6">
        <f t="shared" si="1"/>
        <v>0</v>
      </c>
      <c r="D29" s="6">
        <f t="shared" si="2"/>
        <v>25</v>
      </c>
      <c r="E29" s="6" t="s">
        <v>127</v>
      </c>
      <c r="F29" s="6" t="s">
        <v>126</v>
      </c>
      <c r="G29" s="6" t="s">
        <v>127</v>
      </c>
      <c r="H29" s="6" t="s">
        <v>126</v>
      </c>
      <c r="I29" s="6" t="s">
        <v>127</v>
      </c>
      <c r="J29" s="6" t="s">
        <v>127</v>
      </c>
      <c r="K29" s="6" t="s">
        <v>127</v>
      </c>
      <c r="L29" s="6" t="s">
        <v>127</v>
      </c>
      <c r="M29" s="6" t="s">
        <v>127</v>
      </c>
      <c r="N29" s="6" t="s">
        <v>127</v>
      </c>
      <c r="O29" s="6" t="s">
        <v>127</v>
      </c>
      <c r="P29" s="6" t="s">
        <v>127</v>
      </c>
      <c r="Q29" s="6" t="s">
        <v>127</v>
      </c>
    </row>
    <row r="30" spans="1:17" x14ac:dyDescent="0.35">
      <c r="A30" s="6" t="s">
        <v>19</v>
      </c>
      <c r="B30" s="6">
        <f t="shared" si="0"/>
        <v>2</v>
      </c>
      <c r="C30" s="6">
        <f t="shared" si="1"/>
        <v>0</v>
      </c>
      <c r="D30" s="6">
        <f t="shared" si="2"/>
        <v>25</v>
      </c>
      <c r="E30" s="6" t="s">
        <v>127</v>
      </c>
      <c r="F30" s="6" t="s">
        <v>126</v>
      </c>
      <c r="G30" s="6" t="s">
        <v>127</v>
      </c>
      <c r="H30" s="6" t="s">
        <v>126</v>
      </c>
      <c r="I30" s="6" t="s">
        <v>127</v>
      </c>
      <c r="J30" s="6" t="s">
        <v>127</v>
      </c>
      <c r="K30" s="6" t="s">
        <v>127</v>
      </c>
      <c r="L30" s="6" t="s">
        <v>127</v>
      </c>
      <c r="M30" s="6" t="s">
        <v>127</v>
      </c>
      <c r="N30" s="6" t="s">
        <v>127</v>
      </c>
      <c r="O30" s="6" t="s">
        <v>127</v>
      </c>
      <c r="P30" s="6" t="s">
        <v>127</v>
      </c>
      <c r="Q30" s="6" t="s">
        <v>127</v>
      </c>
    </row>
    <row r="31" spans="1:17" x14ac:dyDescent="0.35">
      <c r="A31" s="6" t="s">
        <v>20</v>
      </c>
      <c r="B31" s="6">
        <f t="shared" si="0"/>
        <v>2</v>
      </c>
      <c r="C31" s="6">
        <f t="shared" si="1"/>
        <v>0</v>
      </c>
      <c r="D31" s="6">
        <f t="shared" si="2"/>
        <v>25</v>
      </c>
      <c r="E31" s="6" t="s">
        <v>127</v>
      </c>
      <c r="F31" s="6" t="s">
        <v>126</v>
      </c>
      <c r="G31" s="6" t="s">
        <v>127</v>
      </c>
      <c r="H31" s="6" t="s">
        <v>126</v>
      </c>
      <c r="I31" s="6" t="s">
        <v>127</v>
      </c>
      <c r="J31" s="6" t="s">
        <v>127</v>
      </c>
      <c r="K31" s="6" t="s">
        <v>127</v>
      </c>
      <c r="L31" s="6" t="s">
        <v>127</v>
      </c>
      <c r="M31" s="6" t="s">
        <v>127</v>
      </c>
      <c r="N31" s="6" t="s">
        <v>127</v>
      </c>
      <c r="O31" s="6" t="s">
        <v>127</v>
      </c>
      <c r="P31" s="6" t="s">
        <v>127</v>
      </c>
      <c r="Q31" s="6" t="s">
        <v>127</v>
      </c>
    </row>
    <row r="32" spans="1:17" x14ac:dyDescent="0.35">
      <c r="A32" s="6" t="s">
        <v>44</v>
      </c>
      <c r="B32" s="6">
        <f t="shared" si="0"/>
        <v>2</v>
      </c>
      <c r="C32" s="6">
        <f t="shared" si="1"/>
        <v>0</v>
      </c>
      <c r="D32" s="6">
        <f t="shared" si="2"/>
        <v>25</v>
      </c>
      <c r="E32" s="6" t="s">
        <v>127</v>
      </c>
      <c r="F32" s="6" t="s">
        <v>126</v>
      </c>
      <c r="G32" s="6" t="s">
        <v>127</v>
      </c>
      <c r="H32" s="6" t="s">
        <v>126</v>
      </c>
      <c r="I32" s="6" t="s">
        <v>127</v>
      </c>
      <c r="J32" s="6" t="s">
        <v>127</v>
      </c>
      <c r="K32" s="6" t="s">
        <v>127</v>
      </c>
      <c r="L32" s="6" t="s">
        <v>127</v>
      </c>
      <c r="M32" s="6" t="s">
        <v>127</v>
      </c>
      <c r="N32" s="6" t="s">
        <v>127</v>
      </c>
      <c r="O32" s="6" t="s">
        <v>127</v>
      </c>
      <c r="P32" s="6" t="s">
        <v>127</v>
      </c>
      <c r="Q32" s="6" t="s">
        <v>127</v>
      </c>
    </row>
    <row r="33" spans="1:17" x14ac:dyDescent="0.35">
      <c r="A33" s="6" t="s">
        <v>33</v>
      </c>
      <c r="B33" s="6">
        <f t="shared" si="0"/>
        <v>2</v>
      </c>
      <c r="C33" s="6">
        <f t="shared" si="1"/>
        <v>0</v>
      </c>
      <c r="D33" s="6">
        <f t="shared" si="2"/>
        <v>25</v>
      </c>
      <c r="E33" s="6" t="s">
        <v>126</v>
      </c>
      <c r="F33" s="6" t="s">
        <v>127</v>
      </c>
      <c r="G33" s="6" t="s">
        <v>127</v>
      </c>
      <c r="H33" s="6" t="s">
        <v>126</v>
      </c>
      <c r="I33" s="6" t="s">
        <v>127</v>
      </c>
      <c r="J33" s="6" t="s">
        <v>127</v>
      </c>
      <c r="K33" s="6" t="s">
        <v>127</v>
      </c>
      <c r="L33" s="6" t="s">
        <v>127</v>
      </c>
      <c r="M33" s="6" t="s">
        <v>127</v>
      </c>
      <c r="N33" s="6" t="s">
        <v>127</v>
      </c>
      <c r="O33" s="6" t="s">
        <v>127</v>
      </c>
      <c r="P33" s="6" t="s">
        <v>127</v>
      </c>
      <c r="Q33" s="6" t="s">
        <v>127</v>
      </c>
    </row>
    <row r="34" spans="1:17" x14ac:dyDescent="0.35">
      <c r="A34" s="6" t="s">
        <v>69</v>
      </c>
      <c r="B34" s="6">
        <f t="shared" ref="B34:B65" si="3">COUNTIF(E34:L34,"Ya")</f>
        <v>2</v>
      </c>
      <c r="C34" s="6">
        <f t="shared" ref="C34:C65" si="4">COUNTIF(M34:Q34,"Ya")</f>
        <v>0</v>
      </c>
      <c r="D34" s="6">
        <f t="shared" ref="D34:D65" si="5">ROUND(MAX((B34/8)*100-(C34*12),0),1)</f>
        <v>25</v>
      </c>
      <c r="E34" s="6" t="s">
        <v>127</v>
      </c>
      <c r="F34" s="6" t="s">
        <v>126</v>
      </c>
      <c r="G34" s="6" t="s">
        <v>127</v>
      </c>
      <c r="H34" s="6" t="s">
        <v>126</v>
      </c>
      <c r="I34" s="6" t="s">
        <v>127</v>
      </c>
      <c r="J34" s="6" t="s">
        <v>127</v>
      </c>
      <c r="K34" s="6" t="s">
        <v>127</v>
      </c>
      <c r="L34" s="6" t="s">
        <v>127</v>
      </c>
      <c r="M34" s="6" t="s">
        <v>127</v>
      </c>
      <c r="N34" s="6" t="s">
        <v>127</v>
      </c>
      <c r="O34" s="6" t="s">
        <v>127</v>
      </c>
      <c r="P34" s="6" t="s">
        <v>127</v>
      </c>
      <c r="Q34" s="6" t="s">
        <v>127</v>
      </c>
    </row>
    <row r="35" spans="1:17" x14ac:dyDescent="0.35">
      <c r="A35" s="6" t="s">
        <v>35</v>
      </c>
      <c r="B35" s="6">
        <f t="shared" si="3"/>
        <v>2</v>
      </c>
      <c r="C35" s="6">
        <f t="shared" si="4"/>
        <v>0</v>
      </c>
      <c r="D35" s="6">
        <f t="shared" si="5"/>
        <v>25</v>
      </c>
      <c r="E35" s="6" t="s">
        <v>127</v>
      </c>
      <c r="F35" s="6" t="s">
        <v>126</v>
      </c>
      <c r="G35" s="6" t="s">
        <v>127</v>
      </c>
      <c r="H35" s="6" t="s">
        <v>126</v>
      </c>
      <c r="I35" s="6" t="s">
        <v>127</v>
      </c>
      <c r="J35" s="6" t="s">
        <v>127</v>
      </c>
      <c r="K35" s="6" t="s">
        <v>127</v>
      </c>
      <c r="L35" s="6" t="s">
        <v>127</v>
      </c>
      <c r="M35" s="6" t="s">
        <v>127</v>
      </c>
      <c r="N35" s="6" t="s">
        <v>127</v>
      </c>
      <c r="O35" s="6" t="s">
        <v>127</v>
      </c>
      <c r="P35" s="6" t="s">
        <v>127</v>
      </c>
      <c r="Q35" s="6" t="s">
        <v>127</v>
      </c>
    </row>
    <row r="36" spans="1:17" x14ac:dyDescent="0.35">
      <c r="A36" s="6" t="s">
        <v>32</v>
      </c>
      <c r="B36" s="6">
        <f t="shared" si="3"/>
        <v>2</v>
      </c>
      <c r="C36" s="6">
        <f t="shared" si="4"/>
        <v>0</v>
      </c>
      <c r="D36" s="6">
        <f t="shared" si="5"/>
        <v>25</v>
      </c>
      <c r="E36" s="6" t="s">
        <v>127</v>
      </c>
      <c r="F36" s="6" t="s">
        <v>126</v>
      </c>
      <c r="G36" s="6" t="s">
        <v>127</v>
      </c>
      <c r="H36" s="6" t="s">
        <v>126</v>
      </c>
      <c r="I36" s="6" t="s">
        <v>127</v>
      </c>
      <c r="J36" s="6" t="s">
        <v>127</v>
      </c>
      <c r="K36" s="6" t="s">
        <v>127</v>
      </c>
      <c r="L36" s="6" t="s">
        <v>127</v>
      </c>
      <c r="M36" s="6" t="s">
        <v>127</v>
      </c>
      <c r="N36" s="6" t="s">
        <v>127</v>
      </c>
      <c r="O36" s="6" t="s">
        <v>127</v>
      </c>
      <c r="P36" s="6" t="s">
        <v>127</v>
      </c>
      <c r="Q36" s="6" t="s">
        <v>127</v>
      </c>
    </row>
    <row r="37" spans="1:17" x14ac:dyDescent="0.35">
      <c r="A37" s="6" t="s">
        <v>26</v>
      </c>
      <c r="B37" s="6">
        <f t="shared" si="3"/>
        <v>2</v>
      </c>
      <c r="C37" s="6">
        <f t="shared" si="4"/>
        <v>0</v>
      </c>
      <c r="D37" s="6">
        <f t="shared" si="5"/>
        <v>25</v>
      </c>
      <c r="E37" s="6" t="s">
        <v>127</v>
      </c>
      <c r="F37" s="6" t="s">
        <v>126</v>
      </c>
      <c r="G37" s="6" t="s">
        <v>126</v>
      </c>
      <c r="H37" s="6" t="s">
        <v>127</v>
      </c>
      <c r="I37" s="6" t="s">
        <v>127</v>
      </c>
      <c r="J37" s="6" t="s">
        <v>127</v>
      </c>
      <c r="K37" s="6" t="s">
        <v>127</v>
      </c>
      <c r="L37" s="6" t="s">
        <v>127</v>
      </c>
      <c r="M37" s="6" t="s">
        <v>127</v>
      </c>
      <c r="N37" s="6" t="s">
        <v>127</v>
      </c>
      <c r="O37" s="6" t="s">
        <v>127</v>
      </c>
      <c r="P37" s="6" t="s">
        <v>127</v>
      </c>
      <c r="Q37" s="6" t="s">
        <v>127</v>
      </c>
    </row>
    <row r="38" spans="1:17" x14ac:dyDescent="0.35">
      <c r="A38" s="6" t="s">
        <v>63</v>
      </c>
      <c r="B38" s="6">
        <f t="shared" si="3"/>
        <v>3</v>
      </c>
      <c r="C38" s="6">
        <f t="shared" si="4"/>
        <v>2</v>
      </c>
      <c r="D38" s="6">
        <f t="shared" si="5"/>
        <v>13.5</v>
      </c>
      <c r="E38" s="6" t="s">
        <v>126</v>
      </c>
      <c r="F38" s="6" t="s">
        <v>127</v>
      </c>
      <c r="G38" s="6" t="s">
        <v>126</v>
      </c>
      <c r="H38" s="6" t="s">
        <v>126</v>
      </c>
      <c r="I38" s="6" t="s">
        <v>127</v>
      </c>
      <c r="J38" s="6" t="s">
        <v>127</v>
      </c>
      <c r="K38" s="6" t="s">
        <v>127</v>
      </c>
      <c r="L38" s="6" t="s">
        <v>127</v>
      </c>
      <c r="M38" s="6" t="s">
        <v>126</v>
      </c>
      <c r="N38" s="6" t="s">
        <v>126</v>
      </c>
      <c r="O38" s="6" t="s">
        <v>127</v>
      </c>
      <c r="P38" s="6" t="s">
        <v>127</v>
      </c>
      <c r="Q38" s="6" t="s">
        <v>127</v>
      </c>
    </row>
    <row r="39" spans="1:17" x14ac:dyDescent="0.35">
      <c r="A39" s="6" t="s">
        <v>70</v>
      </c>
      <c r="B39" s="6">
        <f t="shared" si="3"/>
        <v>3</v>
      </c>
      <c r="C39" s="6">
        <f t="shared" si="4"/>
        <v>2</v>
      </c>
      <c r="D39" s="6">
        <f t="shared" si="5"/>
        <v>13.5</v>
      </c>
      <c r="E39" s="6" t="s">
        <v>127</v>
      </c>
      <c r="F39" s="6" t="s">
        <v>126</v>
      </c>
      <c r="G39" s="6" t="s">
        <v>126</v>
      </c>
      <c r="H39" s="6" t="s">
        <v>127</v>
      </c>
      <c r="I39" s="6" t="s">
        <v>127</v>
      </c>
      <c r="J39" s="6" t="s">
        <v>126</v>
      </c>
      <c r="K39" s="6" t="s">
        <v>127</v>
      </c>
      <c r="L39" s="6" t="s">
        <v>127</v>
      </c>
      <c r="M39" s="6" t="s">
        <v>127</v>
      </c>
      <c r="N39" s="6" t="s">
        <v>126</v>
      </c>
      <c r="O39" s="6" t="s">
        <v>127</v>
      </c>
      <c r="P39" s="6" t="s">
        <v>126</v>
      </c>
      <c r="Q39" s="6" t="s">
        <v>127</v>
      </c>
    </row>
    <row r="40" spans="1:17" x14ac:dyDescent="0.35">
      <c r="A40" s="6" t="s">
        <v>39</v>
      </c>
      <c r="B40" s="6">
        <f t="shared" si="3"/>
        <v>3</v>
      </c>
      <c r="C40" s="6">
        <f t="shared" si="4"/>
        <v>2</v>
      </c>
      <c r="D40" s="6">
        <f t="shared" si="5"/>
        <v>13.5</v>
      </c>
      <c r="E40" s="6" t="s">
        <v>126</v>
      </c>
      <c r="F40" s="6" t="s">
        <v>126</v>
      </c>
      <c r="G40" s="6" t="s">
        <v>127</v>
      </c>
      <c r="H40" s="6" t="s">
        <v>127</v>
      </c>
      <c r="I40" s="6" t="s">
        <v>127</v>
      </c>
      <c r="J40" s="6" t="s">
        <v>126</v>
      </c>
      <c r="K40" s="6" t="s">
        <v>127</v>
      </c>
      <c r="L40" s="6" t="s">
        <v>127</v>
      </c>
      <c r="M40" s="6" t="s">
        <v>127</v>
      </c>
      <c r="N40" s="6" t="s">
        <v>126</v>
      </c>
      <c r="O40" s="6" t="s">
        <v>127</v>
      </c>
      <c r="P40" s="6" t="s">
        <v>126</v>
      </c>
      <c r="Q40" s="6" t="s">
        <v>127</v>
      </c>
    </row>
    <row r="41" spans="1:17" x14ac:dyDescent="0.35">
      <c r="A41" s="6" t="s">
        <v>49</v>
      </c>
      <c r="B41" s="6">
        <f t="shared" si="3"/>
        <v>3</v>
      </c>
      <c r="C41" s="6">
        <f t="shared" si="4"/>
        <v>2</v>
      </c>
      <c r="D41" s="6">
        <f t="shared" si="5"/>
        <v>13.5</v>
      </c>
      <c r="E41" s="6" t="s">
        <v>126</v>
      </c>
      <c r="F41" s="6" t="s">
        <v>126</v>
      </c>
      <c r="G41" s="6" t="s">
        <v>127</v>
      </c>
      <c r="H41" s="6" t="s">
        <v>126</v>
      </c>
      <c r="I41" s="6" t="s">
        <v>127</v>
      </c>
      <c r="J41" s="6" t="s">
        <v>127</v>
      </c>
      <c r="K41" s="6" t="s">
        <v>127</v>
      </c>
      <c r="L41" s="6" t="s">
        <v>127</v>
      </c>
      <c r="M41" s="6" t="s">
        <v>126</v>
      </c>
      <c r="N41" s="6" t="s">
        <v>127</v>
      </c>
      <c r="O41" s="6" t="s">
        <v>126</v>
      </c>
      <c r="P41" s="6" t="s">
        <v>127</v>
      </c>
      <c r="Q41" s="6" t="s">
        <v>127</v>
      </c>
    </row>
    <row r="42" spans="1:17" x14ac:dyDescent="0.35">
      <c r="A42" s="6" t="s">
        <v>54</v>
      </c>
      <c r="B42" s="6">
        <f t="shared" si="3"/>
        <v>2</v>
      </c>
      <c r="C42" s="6">
        <f t="shared" si="4"/>
        <v>1</v>
      </c>
      <c r="D42" s="6">
        <f t="shared" si="5"/>
        <v>13</v>
      </c>
      <c r="E42" s="6" t="s">
        <v>127</v>
      </c>
      <c r="F42" s="6" t="s">
        <v>126</v>
      </c>
      <c r="G42" s="6" t="s">
        <v>126</v>
      </c>
      <c r="H42" s="6" t="s">
        <v>127</v>
      </c>
      <c r="I42" s="6" t="s">
        <v>127</v>
      </c>
      <c r="J42" s="6" t="s">
        <v>127</v>
      </c>
      <c r="K42" s="6" t="s">
        <v>127</v>
      </c>
      <c r="L42" s="6" t="s">
        <v>127</v>
      </c>
      <c r="M42" s="6" t="s">
        <v>127</v>
      </c>
      <c r="N42" s="6" t="s">
        <v>127</v>
      </c>
      <c r="O42" s="6" t="s">
        <v>127</v>
      </c>
      <c r="P42" s="6" t="s">
        <v>126</v>
      </c>
      <c r="Q42" s="6" t="s">
        <v>127</v>
      </c>
    </row>
    <row r="43" spans="1:17" x14ac:dyDescent="0.35">
      <c r="A43" s="6" t="s">
        <v>71</v>
      </c>
      <c r="B43" s="6">
        <f t="shared" si="3"/>
        <v>2</v>
      </c>
      <c r="C43" s="6">
        <f t="shared" si="4"/>
        <v>1</v>
      </c>
      <c r="D43" s="6">
        <f t="shared" si="5"/>
        <v>13</v>
      </c>
      <c r="E43" s="6" t="s">
        <v>127</v>
      </c>
      <c r="F43" s="6" t="s">
        <v>127</v>
      </c>
      <c r="G43" s="6" t="s">
        <v>127</v>
      </c>
      <c r="H43" s="6" t="s">
        <v>126</v>
      </c>
      <c r="I43" s="6" t="s">
        <v>126</v>
      </c>
      <c r="J43" s="6" t="s">
        <v>127</v>
      </c>
      <c r="K43" s="6" t="s">
        <v>127</v>
      </c>
      <c r="L43" s="6" t="s">
        <v>127</v>
      </c>
      <c r="M43" s="6" t="s">
        <v>127</v>
      </c>
      <c r="N43" s="6" t="s">
        <v>127</v>
      </c>
      <c r="O43" s="6" t="s">
        <v>127</v>
      </c>
      <c r="P43" s="6" t="s">
        <v>126</v>
      </c>
      <c r="Q43" s="6" t="s">
        <v>127</v>
      </c>
    </row>
    <row r="44" spans="1:17" x14ac:dyDescent="0.35">
      <c r="A44" s="6" t="s">
        <v>31</v>
      </c>
      <c r="B44" s="6">
        <f t="shared" si="3"/>
        <v>2</v>
      </c>
      <c r="C44" s="6">
        <f t="shared" si="4"/>
        <v>1</v>
      </c>
      <c r="D44" s="6">
        <f t="shared" si="5"/>
        <v>13</v>
      </c>
      <c r="E44" s="6" t="s">
        <v>126</v>
      </c>
      <c r="F44" s="6" t="s">
        <v>126</v>
      </c>
      <c r="G44" s="6" t="s">
        <v>127</v>
      </c>
      <c r="H44" s="6" t="s">
        <v>127</v>
      </c>
      <c r="I44" s="6" t="s">
        <v>127</v>
      </c>
      <c r="J44" s="6" t="s">
        <v>127</v>
      </c>
      <c r="K44" s="6" t="s">
        <v>127</v>
      </c>
      <c r="L44" s="6" t="s">
        <v>127</v>
      </c>
      <c r="M44" s="6" t="s">
        <v>127</v>
      </c>
      <c r="N44" s="6" t="s">
        <v>127</v>
      </c>
      <c r="O44" s="6" t="s">
        <v>127</v>
      </c>
      <c r="P44" s="6" t="s">
        <v>127</v>
      </c>
      <c r="Q44" s="6" t="s">
        <v>126</v>
      </c>
    </row>
    <row r="45" spans="1:17" x14ac:dyDescent="0.35">
      <c r="A45" s="6" t="s">
        <v>46</v>
      </c>
      <c r="B45" s="6">
        <f t="shared" si="3"/>
        <v>2</v>
      </c>
      <c r="C45" s="6">
        <f t="shared" si="4"/>
        <v>1</v>
      </c>
      <c r="D45" s="6">
        <f t="shared" si="5"/>
        <v>13</v>
      </c>
      <c r="E45" s="6" t="s">
        <v>126</v>
      </c>
      <c r="F45" s="6" t="s">
        <v>127</v>
      </c>
      <c r="G45" s="6" t="s">
        <v>127</v>
      </c>
      <c r="H45" s="6" t="s">
        <v>126</v>
      </c>
      <c r="I45" s="6" t="s">
        <v>127</v>
      </c>
      <c r="J45" s="6" t="s">
        <v>127</v>
      </c>
      <c r="K45" s="6" t="s">
        <v>127</v>
      </c>
      <c r="L45" s="6" t="s">
        <v>127</v>
      </c>
      <c r="M45" s="6" t="s">
        <v>127</v>
      </c>
      <c r="N45" s="6" t="s">
        <v>127</v>
      </c>
      <c r="O45" s="6" t="s">
        <v>127</v>
      </c>
      <c r="P45" s="6" t="s">
        <v>127</v>
      </c>
      <c r="Q45" s="6" t="s">
        <v>126</v>
      </c>
    </row>
    <row r="46" spans="1:17" x14ac:dyDescent="0.35">
      <c r="A46" s="6" t="s">
        <v>60</v>
      </c>
      <c r="B46" s="6">
        <f t="shared" si="3"/>
        <v>2</v>
      </c>
      <c r="C46" s="6">
        <f t="shared" si="4"/>
        <v>1</v>
      </c>
      <c r="D46" s="6">
        <f t="shared" si="5"/>
        <v>13</v>
      </c>
      <c r="E46" s="6" t="s">
        <v>127</v>
      </c>
      <c r="F46" s="6" t="s">
        <v>126</v>
      </c>
      <c r="G46" s="6" t="s">
        <v>127</v>
      </c>
      <c r="H46" s="6" t="s">
        <v>126</v>
      </c>
      <c r="I46" s="6" t="s">
        <v>127</v>
      </c>
      <c r="J46" s="6" t="s">
        <v>127</v>
      </c>
      <c r="K46" s="6" t="s">
        <v>127</v>
      </c>
      <c r="L46" s="6" t="s">
        <v>127</v>
      </c>
      <c r="M46" s="6" t="s">
        <v>127</v>
      </c>
      <c r="N46" s="6" t="s">
        <v>126</v>
      </c>
      <c r="O46" s="6" t="s">
        <v>127</v>
      </c>
      <c r="P46" s="6" t="s">
        <v>127</v>
      </c>
      <c r="Q46" s="6" t="s">
        <v>127</v>
      </c>
    </row>
    <row r="47" spans="1:17" x14ac:dyDescent="0.35">
      <c r="A47" s="6" t="s">
        <v>55</v>
      </c>
      <c r="B47" s="6">
        <f t="shared" si="3"/>
        <v>1</v>
      </c>
      <c r="C47" s="6">
        <f t="shared" si="4"/>
        <v>0</v>
      </c>
      <c r="D47" s="6">
        <f t="shared" si="5"/>
        <v>12.5</v>
      </c>
      <c r="E47" s="6" t="s">
        <v>127</v>
      </c>
      <c r="F47" s="6" t="s">
        <v>127</v>
      </c>
      <c r="G47" s="6" t="s">
        <v>127</v>
      </c>
      <c r="H47" s="6" t="s">
        <v>127</v>
      </c>
      <c r="I47" s="6" t="s">
        <v>126</v>
      </c>
      <c r="J47" s="6" t="s">
        <v>127</v>
      </c>
      <c r="K47" s="6" t="s">
        <v>127</v>
      </c>
      <c r="L47" s="6" t="s">
        <v>127</v>
      </c>
      <c r="M47" s="6" t="s">
        <v>127</v>
      </c>
      <c r="N47" s="6" t="s">
        <v>127</v>
      </c>
      <c r="O47" s="6" t="s">
        <v>127</v>
      </c>
      <c r="P47" s="6" t="s">
        <v>127</v>
      </c>
      <c r="Q47" s="6" t="s">
        <v>127</v>
      </c>
    </row>
    <row r="48" spans="1:17" x14ac:dyDescent="0.35">
      <c r="A48" s="6" t="s">
        <v>47</v>
      </c>
      <c r="B48" s="6">
        <f t="shared" si="3"/>
        <v>1</v>
      </c>
      <c r="C48" s="6">
        <f t="shared" si="4"/>
        <v>0</v>
      </c>
      <c r="D48" s="6">
        <f t="shared" si="5"/>
        <v>12.5</v>
      </c>
      <c r="E48" s="6" t="s">
        <v>127</v>
      </c>
      <c r="F48" s="6" t="s">
        <v>127</v>
      </c>
      <c r="G48" s="6" t="s">
        <v>127</v>
      </c>
      <c r="H48" s="6" t="s">
        <v>126</v>
      </c>
      <c r="I48" s="6" t="s">
        <v>127</v>
      </c>
      <c r="J48" s="6" t="s">
        <v>127</v>
      </c>
      <c r="K48" s="6" t="s">
        <v>127</v>
      </c>
      <c r="L48" s="6" t="s">
        <v>127</v>
      </c>
      <c r="M48" s="6" t="s">
        <v>127</v>
      </c>
      <c r="N48" s="6" t="s">
        <v>127</v>
      </c>
      <c r="O48" s="6" t="s">
        <v>127</v>
      </c>
      <c r="P48" s="6" t="s">
        <v>127</v>
      </c>
      <c r="Q48" s="6" t="s">
        <v>127</v>
      </c>
    </row>
    <row r="49" spans="1:17" x14ac:dyDescent="0.35">
      <c r="A49" s="6" t="s">
        <v>62</v>
      </c>
      <c r="B49" s="6">
        <f t="shared" si="3"/>
        <v>1</v>
      </c>
      <c r="C49" s="6">
        <f t="shared" si="4"/>
        <v>0</v>
      </c>
      <c r="D49" s="6">
        <f t="shared" si="5"/>
        <v>12.5</v>
      </c>
      <c r="E49" s="6" t="s">
        <v>127</v>
      </c>
      <c r="F49" s="6" t="s">
        <v>127</v>
      </c>
      <c r="G49" s="6" t="s">
        <v>127</v>
      </c>
      <c r="H49" s="6" t="s">
        <v>127</v>
      </c>
      <c r="I49" s="6" t="s">
        <v>126</v>
      </c>
      <c r="J49" s="6" t="s">
        <v>127</v>
      </c>
      <c r="K49" s="6" t="s">
        <v>127</v>
      </c>
      <c r="L49" s="6" t="s">
        <v>127</v>
      </c>
      <c r="M49" s="6" t="s">
        <v>127</v>
      </c>
      <c r="N49" s="6" t="s">
        <v>127</v>
      </c>
      <c r="O49" s="6" t="s">
        <v>127</v>
      </c>
      <c r="P49" s="6" t="s">
        <v>127</v>
      </c>
      <c r="Q49" s="6" t="s">
        <v>127</v>
      </c>
    </row>
    <row r="50" spans="1:17" x14ac:dyDescent="0.35">
      <c r="A50" s="6" t="s">
        <v>45</v>
      </c>
      <c r="B50" s="6">
        <f t="shared" si="3"/>
        <v>2</v>
      </c>
      <c r="C50" s="6">
        <f t="shared" si="4"/>
        <v>2</v>
      </c>
      <c r="D50" s="6">
        <f t="shared" si="5"/>
        <v>1</v>
      </c>
      <c r="E50" s="6" t="s">
        <v>126</v>
      </c>
      <c r="F50" s="6" t="s">
        <v>127</v>
      </c>
      <c r="G50" s="6" t="s">
        <v>127</v>
      </c>
      <c r="H50" s="6" t="s">
        <v>126</v>
      </c>
      <c r="I50" s="6" t="s">
        <v>127</v>
      </c>
      <c r="J50" s="6" t="s">
        <v>127</v>
      </c>
      <c r="K50" s="6" t="s">
        <v>127</v>
      </c>
      <c r="L50" s="6" t="s">
        <v>127</v>
      </c>
      <c r="M50" s="6" t="s">
        <v>127</v>
      </c>
      <c r="N50" s="6" t="s">
        <v>126</v>
      </c>
      <c r="O50" s="6" t="s">
        <v>127</v>
      </c>
      <c r="P50" s="6" t="s">
        <v>127</v>
      </c>
      <c r="Q50" s="6" t="s">
        <v>126</v>
      </c>
    </row>
    <row r="51" spans="1:17" x14ac:dyDescent="0.35">
      <c r="A51" s="6" t="s">
        <v>59</v>
      </c>
      <c r="B51" s="6">
        <f t="shared" si="3"/>
        <v>2</v>
      </c>
      <c r="C51" s="6">
        <f t="shared" si="4"/>
        <v>2</v>
      </c>
      <c r="D51" s="6">
        <f t="shared" si="5"/>
        <v>1</v>
      </c>
      <c r="E51" s="6" t="s">
        <v>127</v>
      </c>
      <c r="F51" s="6" t="s">
        <v>126</v>
      </c>
      <c r="G51" s="6" t="s">
        <v>127</v>
      </c>
      <c r="H51" s="6" t="s">
        <v>126</v>
      </c>
      <c r="I51" s="6" t="s">
        <v>127</v>
      </c>
      <c r="J51" s="6" t="s">
        <v>127</v>
      </c>
      <c r="K51" s="6" t="s">
        <v>127</v>
      </c>
      <c r="L51" s="6" t="s">
        <v>127</v>
      </c>
      <c r="M51" s="6" t="s">
        <v>127</v>
      </c>
      <c r="N51" s="6" t="s">
        <v>126</v>
      </c>
      <c r="O51" s="6" t="s">
        <v>127</v>
      </c>
      <c r="P51" s="6" t="s">
        <v>126</v>
      </c>
      <c r="Q51" s="6" t="s">
        <v>127</v>
      </c>
    </row>
    <row r="52" spans="1:17" x14ac:dyDescent="0.35">
      <c r="A52" s="6" t="s">
        <v>57</v>
      </c>
      <c r="B52" s="6">
        <f t="shared" si="3"/>
        <v>2</v>
      </c>
      <c r="C52" s="6">
        <f t="shared" si="4"/>
        <v>2</v>
      </c>
      <c r="D52" s="6">
        <f t="shared" si="5"/>
        <v>1</v>
      </c>
      <c r="E52" s="6" t="s">
        <v>127</v>
      </c>
      <c r="F52" s="6" t="s">
        <v>126</v>
      </c>
      <c r="G52" s="6" t="s">
        <v>127</v>
      </c>
      <c r="H52" s="6" t="s">
        <v>126</v>
      </c>
      <c r="I52" s="6" t="s">
        <v>127</v>
      </c>
      <c r="J52" s="6" t="s">
        <v>127</v>
      </c>
      <c r="K52" s="6" t="s">
        <v>127</v>
      </c>
      <c r="L52" s="6" t="s">
        <v>127</v>
      </c>
      <c r="M52" s="6" t="s">
        <v>127</v>
      </c>
      <c r="N52" s="6" t="s">
        <v>126</v>
      </c>
      <c r="O52" s="6" t="s">
        <v>127</v>
      </c>
      <c r="P52" s="6" t="s">
        <v>126</v>
      </c>
      <c r="Q52" s="6" t="s">
        <v>127</v>
      </c>
    </row>
    <row r="53" spans="1:17" x14ac:dyDescent="0.35">
      <c r="A53" s="6" t="s">
        <v>73</v>
      </c>
      <c r="B53" s="6">
        <f t="shared" si="3"/>
        <v>2</v>
      </c>
      <c r="C53" s="6">
        <f t="shared" si="4"/>
        <v>2</v>
      </c>
      <c r="D53" s="6">
        <f t="shared" si="5"/>
        <v>1</v>
      </c>
      <c r="E53" s="6" t="s">
        <v>126</v>
      </c>
      <c r="F53" s="6" t="s">
        <v>126</v>
      </c>
      <c r="G53" s="6" t="s">
        <v>127</v>
      </c>
      <c r="H53" s="6" t="s">
        <v>127</v>
      </c>
      <c r="I53" s="6" t="s">
        <v>127</v>
      </c>
      <c r="J53" s="6" t="s">
        <v>127</v>
      </c>
      <c r="K53" s="6" t="s">
        <v>127</v>
      </c>
      <c r="L53" s="6" t="s">
        <v>127</v>
      </c>
      <c r="M53" s="6" t="s">
        <v>127</v>
      </c>
      <c r="N53" s="6" t="s">
        <v>126</v>
      </c>
      <c r="O53" s="6" t="s">
        <v>127</v>
      </c>
      <c r="P53" s="6" t="s">
        <v>126</v>
      </c>
      <c r="Q53" s="6" t="s">
        <v>127</v>
      </c>
    </row>
    <row r="54" spans="1:17" x14ac:dyDescent="0.35">
      <c r="A54" s="6" t="s">
        <v>67</v>
      </c>
      <c r="B54" s="6">
        <f t="shared" si="3"/>
        <v>1</v>
      </c>
      <c r="C54" s="6">
        <f t="shared" si="4"/>
        <v>1</v>
      </c>
      <c r="D54" s="6">
        <f t="shared" si="5"/>
        <v>0.5</v>
      </c>
      <c r="E54" s="6" t="s">
        <v>126</v>
      </c>
      <c r="F54" s="6" t="s">
        <v>127</v>
      </c>
      <c r="G54" s="6" t="s">
        <v>127</v>
      </c>
      <c r="H54" s="6" t="s">
        <v>127</v>
      </c>
      <c r="I54" s="6" t="s">
        <v>127</v>
      </c>
      <c r="J54" s="6" t="s">
        <v>127</v>
      </c>
      <c r="K54" s="6" t="s">
        <v>127</v>
      </c>
      <c r="L54" s="6" t="s">
        <v>127</v>
      </c>
      <c r="M54" s="6" t="s">
        <v>127</v>
      </c>
      <c r="N54" s="6" t="s">
        <v>126</v>
      </c>
      <c r="O54" s="6" t="s">
        <v>127</v>
      </c>
      <c r="P54" s="6" t="s">
        <v>127</v>
      </c>
      <c r="Q54" s="6" t="s">
        <v>127</v>
      </c>
    </row>
    <row r="55" spans="1:17" x14ac:dyDescent="0.35">
      <c r="A55" s="6" t="s">
        <v>66</v>
      </c>
      <c r="B55" s="6">
        <f t="shared" si="3"/>
        <v>1</v>
      </c>
      <c r="C55" s="6">
        <f t="shared" si="4"/>
        <v>1</v>
      </c>
      <c r="D55" s="6">
        <f t="shared" si="5"/>
        <v>0.5</v>
      </c>
      <c r="E55" s="6" t="s">
        <v>127</v>
      </c>
      <c r="F55" s="6" t="s">
        <v>127</v>
      </c>
      <c r="G55" s="6" t="s">
        <v>126</v>
      </c>
      <c r="H55" s="6" t="s">
        <v>127</v>
      </c>
      <c r="I55" s="6" t="s">
        <v>127</v>
      </c>
      <c r="J55" s="6" t="s">
        <v>127</v>
      </c>
      <c r="K55" s="6" t="s">
        <v>127</v>
      </c>
      <c r="L55" s="6" t="s">
        <v>127</v>
      </c>
      <c r="M55" s="6" t="s">
        <v>127</v>
      </c>
      <c r="N55" s="6" t="s">
        <v>126</v>
      </c>
      <c r="O55" s="6" t="s">
        <v>127</v>
      </c>
      <c r="P55" s="6" t="s">
        <v>127</v>
      </c>
      <c r="Q55" s="6" t="s">
        <v>127</v>
      </c>
    </row>
    <row r="56" spans="1:17" x14ac:dyDescent="0.35">
      <c r="A56" s="6" t="s">
        <v>75</v>
      </c>
      <c r="B56" s="6">
        <f t="shared" si="3"/>
        <v>1</v>
      </c>
      <c r="C56" s="6">
        <f t="shared" si="4"/>
        <v>1</v>
      </c>
      <c r="D56" s="6">
        <f t="shared" si="5"/>
        <v>0.5</v>
      </c>
      <c r="E56" s="6" t="s">
        <v>127</v>
      </c>
      <c r="F56" s="6" t="s">
        <v>126</v>
      </c>
      <c r="G56" s="6" t="s">
        <v>127</v>
      </c>
      <c r="H56" s="6" t="s">
        <v>127</v>
      </c>
      <c r="I56" s="6" t="s">
        <v>127</v>
      </c>
      <c r="J56" s="6" t="s">
        <v>127</v>
      </c>
      <c r="K56" s="6" t="s">
        <v>127</v>
      </c>
      <c r="L56" s="6" t="s">
        <v>127</v>
      </c>
      <c r="M56" s="6" t="s">
        <v>127</v>
      </c>
      <c r="N56" s="6" t="s">
        <v>127</v>
      </c>
      <c r="O56" s="6" t="s">
        <v>127</v>
      </c>
      <c r="P56" s="6" t="s">
        <v>126</v>
      </c>
      <c r="Q56" s="6" t="s">
        <v>127</v>
      </c>
    </row>
    <row r="57" spans="1:17" x14ac:dyDescent="0.35">
      <c r="A57" s="6" t="s">
        <v>50</v>
      </c>
      <c r="B57" s="6">
        <f t="shared" si="3"/>
        <v>0</v>
      </c>
      <c r="C57" s="6">
        <f t="shared" si="4"/>
        <v>0</v>
      </c>
      <c r="D57" s="6">
        <f t="shared" si="5"/>
        <v>0</v>
      </c>
      <c r="E57" s="6" t="s">
        <v>127</v>
      </c>
      <c r="F57" s="6" t="s">
        <v>127</v>
      </c>
      <c r="G57" s="6" t="s">
        <v>127</v>
      </c>
      <c r="H57" s="6" t="s">
        <v>127</v>
      </c>
      <c r="I57" s="6" t="s">
        <v>127</v>
      </c>
      <c r="J57" s="6" t="s">
        <v>127</v>
      </c>
      <c r="K57" s="6" t="s">
        <v>127</v>
      </c>
      <c r="L57" s="6" t="s">
        <v>127</v>
      </c>
      <c r="M57" s="6" t="s">
        <v>127</v>
      </c>
      <c r="N57" s="6" t="s">
        <v>127</v>
      </c>
      <c r="O57" s="6" t="s">
        <v>127</v>
      </c>
      <c r="P57" s="6" t="s">
        <v>127</v>
      </c>
      <c r="Q57" s="6" t="s">
        <v>127</v>
      </c>
    </row>
    <row r="58" spans="1:17" x14ac:dyDescent="0.35">
      <c r="A58" s="6" t="s">
        <v>68</v>
      </c>
      <c r="B58" s="6">
        <f t="shared" si="3"/>
        <v>0</v>
      </c>
      <c r="C58" s="6">
        <f t="shared" si="4"/>
        <v>1</v>
      </c>
      <c r="D58" s="6">
        <f t="shared" si="5"/>
        <v>0</v>
      </c>
      <c r="E58" s="6" t="s">
        <v>127</v>
      </c>
      <c r="F58" s="6" t="s">
        <v>127</v>
      </c>
      <c r="G58" s="6" t="s">
        <v>127</v>
      </c>
      <c r="H58" s="6" t="s">
        <v>127</v>
      </c>
      <c r="I58" s="6" t="s">
        <v>127</v>
      </c>
      <c r="J58" s="6" t="s">
        <v>127</v>
      </c>
      <c r="K58" s="6" t="s">
        <v>127</v>
      </c>
      <c r="L58" s="6" t="s">
        <v>127</v>
      </c>
      <c r="M58" s="6" t="s">
        <v>127</v>
      </c>
      <c r="N58" s="6" t="s">
        <v>126</v>
      </c>
      <c r="O58" s="6" t="s">
        <v>127</v>
      </c>
      <c r="P58" s="6" t="s">
        <v>127</v>
      </c>
      <c r="Q58" s="6" t="s">
        <v>127</v>
      </c>
    </row>
    <row r="59" spans="1:17" x14ac:dyDescent="0.35">
      <c r="A59" s="6" t="s">
        <v>72</v>
      </c>
      <c r="B59" s="6">
        <f t="shared" si="3"/>
        <v>1</v>
      </c>
      <c r="C59" s="6">
        <f t="shared" si="4"/>
        <v>4</v>
      </c>
      <c r="D59" s="6">
        <f t="shared" si="5"/>
        <v>0</v>
      </c>
      <c r="E59" s="6" t="s">
        <v>127</v>
      </c>
      <c r="F59" s="6" t="s">
        <v>126</v>
      </c>
      <c r="G59" s="6" t="s">
        <v>127</v>
      </c>
      <c r="H59" s="6" t="s">
        <v>127</v>
      </c>
      <c r="I59" s="6" t="s">
        <v>127</v>
      </c>
      <c r="J59" s="6" t="s">
        <v>127</v>
      </c>
      <c r="K59" s="6" t="s">
        <v>127</v>
      </c>
      <c r="L59" s="6" t="s">
        <v>127</v>
      </c>
      <c r="M59" s="6" t="s">
        <v>126</v>
      </c>
      <c r="N59" s="6" t="s">
        <v>126</v>
      </c>
      <c r="O59" s="6" t="s">
        <v>126</v>
      </c>
      <c r="P59" s="6" t="s">
        <v>126</v>
      </c>
      <c r="Q59" s="6" t="s">
        <v>127</v>
      </c>
    </row>
    <row r="60" spans="1:17" x14ac:dyDescent="0.35">
      <c r="A60" s="6" t="s">
        <v>40</v>
      </c>
      <c r="B60" s="6">
        <f t="shared" si="3"/>
        <v>0</v>
      </c>
      <c r="C60" s="6">
        <f t="shared" si="4"/>
        <v>1</v>
      </c>
      <c r="D60" s="6">
        <f t="shared" si="5"/>
        <v>0</v>
      </c>
      <c r="E60" s="6" t="s">
        <v>127</v>
      </c>
      <c r="F60" s="6" t="s">
        <v>127</v>
      </c>
      <c r="G60" s="6" t="s">
        <v>127</v>
      </c>
      <c r="H60" s="6" t="s">
        <v>127</v>
      </c>
      <c r="I60" s="6" t="s">
        <v>127</v>
      </c>
      <c r="J60" s="6" t="s">
        <v>127</v>
      </c>
      <c r="K60" s="6" t="s">
        <v>127</v>
      </c>
      <c r="L60" s="6" t="s">
        <v>127</v>
      </c>
      <c r="M60" s="6" t="s">
        <v>127</v>
      </c>
      <c r="N60" s="6" t="s">
        <v>126</v>
      </c>
      <c r="O60" s="6" t="s">
        <v>127</v>
      </c>
      <c r="P60" s="6" t="s">
        <v>127</v>
      </c>
      <c r="Q60" s="6" t="s">
        <v>127</v>
      </c>
    </row>
    <row r="61" spans="1:17" x14ac:dyDescent="0.35">
      <c r="A61" s="6" t="s">
        <v>52</v>
      </c>
      <c r="B61" s="6">
        <f t="shared" si="3"/>
        <v>0</v>
      </c>
      <c r="C61" s="6">
        <f t="shared" si="4"/>
        <v>0</v>
      </c>
      <c r="D61" s="6">
        <f t="shared" si="5"/>
        <v>0</v>
      </c>
      <c r="E61" s="6" t="s">
        <v>127</v>
      </c>
      <c r="F61" s="6" t="s">
        <v>127</v>
      </c>
      <c r="G61" s="6" t="s">
        <v>127</v>
      </c>
      <c r="H61" s="6" t="s">
        <v>127</v>
      </c>
      <c r="I61" s="6" t="s">
        <v>127</v>
      </c>
      <c r="J61" s="6" t="s">
        <v>127</v>
      </c>
      <c r="K61" s="6" t="s">
        <v>127</v>
      </c>
      <c r="L61" s="6" t="s">
        <v>127</v>
      </c>
      <c r="M61" s="6" t="s">
        <v>127</v>
      </c>
      <c r="N61" s="6" t="s">
        <v>127</v>
      </c>
      <c r="O61" s="6" t="s">
        <v>127</v>
      </c>
      <c r="P61" s="6" t="s">
        <v>127</v>
      </c>
      <c r="Q61" s="6" t="s">
        <v>127</v>
      </c>
    </row>
    <row r="62" spans="1:17" x14ac:dyDescent="0.35">
      <c r="A62" s="6" t="s">
        <v>64</v>
      </c>
      <c r="B62" s="6">
        <f t="shared" si="3"/>
        <v>0</v>
      </c>
      <c r="C62" s="6">
        <f t="shared" si="4"/>
        <v>2</v>
      </c>
      <c r="D62" s="6">
        <f t="shared" si="5"/>
        <v>0</v>
      </c>
      <c r="E62" s="6" t="s">
        <v>127</v>
      </c>
      <c r="F62" s="6" t="s">
        <v>127</v>
      </c>
      <c r="G62" s="6" t="s">
        <v>127</v>
      </c>
      <c r="H62" s="6" t="s">
        <v>127</v>
      </c>
      <c r="I62" s="6" t="s">
        <v>127</v>
      </c>
      <c r="J62" s="6" t="s">
        <v>127</v>
      </c>
      <c r="K62" s="6" t="s">
        <v>127</v>
      </c>
      <c r="L62" s="6" t="s">
        <v>127</v>
      </c>
      <c r="M62" s="6" t="s">
        <v>127</v>
      </c>
      <c r="N62" s="6" t="s">
        <v>126</v>
      </c>
      <c r="O62" s="6" t="s">
        <v>126</v>
      </c>
      <c r="P62" s="6" t="s">
        <v>127</v>
      </c>
      <c r="Q62" s="6" t="s">
        <v>127</v>
      </c>
    </row>
    <row r="63" spans="1:17" x14ac:dyDescent="0.35">
      <c r="A63" s="6" t="s">
        <v>53</v>
      </c>
      <c r="B63" s="6">
        <f t="shared" si="3"/>
        <v>1</v>
      </c>
      <c r="C63" s="6">
        <f t="shared" si="4"/>
        <v>2</v>
      </c>
      <c r="D63" s="6">
        <f t="shared" si="5"/>
        <v>0</v>
      </c>
      <c r="E63" s="6" t="s">
        <v>127</v>
      </c>
      <c r="F63" s="6" t="s">
        <v>127</v>
      </c>
      <c r="G63" s="6" t="s">
        <v>126</v>
      </c>
      <c r="H63" s="6" t="s">
        <v>127</v>
      </c>
      <c r="I63" s="6" t="s">
        <v>127</v>
      </c>
      <c r="J63" s="6" t="s">
        <v>127</v>
      </c>
      <c r="K63" s="6" t="s">
        <v>127</v>
      </c>
      <c r="L63" s="6" t="s">
        <v>127</v>
      </c>
      <c r="M63" s="6" t="s">
        <v>127</v>
      </c>
      <c r="N63" s="6" t="s">
        <v>126</v>
      </c>
      <c r="O63" s="6" t="s">
        <v>126</v>
      </c>
      <c r="P63" s="6" t="s">
        <v>127</v>
      </c>
      <c r="Q63" s="6" t="s">
        <v>127</v>
      </c>
    </row>
    <row r="64" spans="1:17" x14ac:dyDescent="0.35">
      <c r="A64" s="6" t="s">
        <v>76</v>
      </c>
      <c r="B64" s="6">
        <f t="shared" si="3"/>
        <v>1</v>
      </c>
      <c r="C64" s="6">
        <f t="shared" si="4"/>
        <v>2</v>
      </c>
      <c r="D64" s="6">
        <f t="shared" si="5"/>
        <v>0</v>
      </c>
      <c r="E64" s="6" t="s">
        <v>127</v>
      </c>
      <c r="F64" s="6" t="s">
        <v>127</v>
      </c>
      <c r="G64" s="6" t="s">
        <v>126</v>
      </c>
      <c r="H64" s="6" t="s">
        <v>127</v>
      </c>
      <c r="I64" s="6" t="s">
        <v>127</v>
      </c>
      <c r="J64" s="6" t="s">
        <v>127</v>
      </c>
      <c r="K64" s="6" t="s">
        <v>127</v>
      </c>
      <c r="L64" s="6" t="s">
        <v>127</v>
      </c>
      <c r="M64" s="6" t="s">
        <v>127</v>
      </c>
      <c r="N64" s="6" t="s">
        <v>126</v>
      </c>
      <c r="O64" s="6" t="s">
        <v>127</v>
      </c>
      <c r="P64" s="6" t="s">
        <v>126</v>
      </c>
      <c r="Q64" s="6" t="s">
        <v>127</v>
      </c>
    </row>
    <row r="65" spans="1:17" x14ac:dyDescent="0.35">
      <c r="A65" s="6" t="s">
        <v>74</v>
      </c>
      <c r="B65" s="6">
        <f t="shared" si="3"/>
        <v>0</v>
      </c>
      <c r="C65" s="6">
        <f t="shared" si="4"/>
        <v>2</v>
      </c>
      <c r="D65" s="6">
        <f t="shared" si="5"/>
        <v>0</v>
      </c>
      <c r="E65" s="6" t="s">
        <v>127</v>
      </c>
      <c r="F65" s="6" t="s">
        <v>127</v>
      </c>
      <c r="G65" s="6" t="s">
        <v>127</v>
      </c>
      <c r="H65" s="6" t="s">
        <v>127</v>
      </c>
      <c r="I65" s="6" t="s">
        <v>127</v>
      </c>
      <c r="J65" s="6" t="s">
        <v>127</v>
      </c>
      <c r="K65" s="6" t="s">
        <v>127</v>
      </c>
      <c r="L65" s="6" t="s">
        <v>127</v>
      </c>
      <c r="M65" s="6" t="s">
        <v>127</v>
      </c>
      <c r="N65" s="6" t="s">
        <v>126</v>
      </c>
      <c r="O65" s="6" t="s">
        <v>127</v>
      </c>
      <c r="P65" s="6" t="s">
        <v>126</v>
      </c>
      <c r="Q65" s="6" t="s">
        <v>127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5"/>
  <sheetViews>
    <sheetView zoomScaleNormal="100" workbookViewId="0">
      <pane ySplit="1" topLeftCell="A2" activePane="bottomLeft" state="frozen"/>
      <selection pane="bottomLeft"/>
    </sheetView>
  </sheetViews>
  <sheetFormatPr defaultColWidth="8.6328125" defaultRowHeight="14.5" x14ac:dyDescent="0.35"/>
  <cols>
    <col min="1" max="1" width="45" customWidth="1"/>
    <col min="2" max="2" width="29" customWidth="1"/>
    <col min="3" max="3" width="22" customWidth="1"/>
    <col min="4" max="4" width="39" customWidth="1"/>
    <col min="5" max="5" width="38" customWidth="1"/>
    <col min="6" max="6" width="25" customWidth="1"/>
  </cols>
  <sheetData>
    <row r="1" spans="1:6" x14ac:dyDescent="0.35">
      <c r="A1" s="4" t="s">
        <v>1</v>
      </c>
      <c r="B1" s="4" t="s">
        <v>128</v>
      </c>
      <c r="C1" s="4" t="s">
        <v>129</v>
      </c>
      <c r="D1" s="4" t="s">
        <v>130</v>
      </c>
      <c r="E1" s="4" t="s">
        <v>131</v>
      </c>
      <c r="F1" s="4" t="s">
        <v>5</v>
      </c>
    </row>
    <row r="2" spans="1:6" x14ac:dyDescent="0.35">
      <c r="A2" s="6" t="s">
        <v>21</v>
      </c>
      <c r="B2" s="6">
        <v>100</v>
      </c>
      <c r="C2" s="6" t="s">
        <v>126</v>
      </c>
      <c r="D2" s="6">
        <v>5</v>
      </c>
      <c r="E2" s="6">
        <v>1</v>
      </c>
      <c r="F2" s="6">
        <f t="shared" ref="F2:F33" si="0">ROUND(B2*0.6+IF(C2="Ya",40,0),1)</f>
        <v>100</v>
      </c>
    </row>
    <row r="3" spans="1:6" x14ac:dyDescent="0.35">
      <c r="A3" s="6" t="s">
        <v>16</v>
      </c>
      <c r="B3" s="6">
        <v>90</v>
      </c>
      <c r="C3" s="6" t="s">
        <v>126</v>
      </c>
      <c r="D3" s="6">
        <v>3</v>
      </c>
      <c r="E3" s="6">
        <v>1</v>
      </c>
      <c r="F3" s="6">
        <f t="shared" si="0"/>
        <v>94</v>
      </c>
    </row>
    <row r="4" spans="1:6" x14ac:dyDescent="0.35">
      <c r="A4" s="6" t="s">
        <v>17</v>
      </c>
      <c r="B4" s="6">
        <v>90</v>
      </c>
      <c r="C4" s="6" t="s">
        <v>126</v>
      </c>
      <c r="D4" s="6">
        <v>2</v>
      </c>
      <c r="E4" s="6">
        <v>0</v>
      </c>
      <c r="F4" s="6">
        <f t="shared" si="0"/>
        <v>94</v>
      </c>
    </row>
    <row r="5" spans="1:6" x14ac:dyDescent="0.35">
      <c r="A5" s="6" t="s">
        <v>39</v>
      </c>
      <c r="B5" s="6">
        <v>70</v>
      </c>
      <c r="C5" s="6" t="s">
        <v>126</v>
      </c>
      <c r="D5" s="6">
        <v>2</v>
      </c>
      <c r="E5" s="6">
        <v>1</v>
      </c>
      <c r="F5" s="6">
        <f t="shared" si="0"/>
        <v>82</v>
      </c>
    </row>
    <row r="6" spans="1:6" x14ac:dyDescent="0.35">
      <c r="A6" s="6" t="s">
        <v>20</v>
      </c>
      <c r="B6" s="6">
        <v>70</v>
      </c>
      <c r="C6" s="6" t="s">
        <v>126</v>
      </c>
      <c r="D6" s="6">
        <v>1</v>
      </c>
      <c r="E6" s="6">
        <v>0</v>
      </c>
      <c r="F6" s="6">
        <f t="shared" si="0"/>
        <v>82</v>
      </c>
    </row>
    <row r="7" spans="1:6" x14ac:dyDescent="0.35">
      <c r="A7" s="6" t="s">
        <v>19</v>
      </c>
      <c r="B7" s="6">
        <v>70</v>
      </c>
      <c r="C7" s="6" t="s">
        <v>126</v>
      </c>
      <c r="D7" s="6">
        <v>1</v>
      </c>
      <c r="E7" s="6">
        <v>0</v>
      </c>
      <c r="F7" s="6">
        <f t="shared" si="0"/>
        <v>82</v>
      </c>
    </row>
    <row r="8" spans="1:6" x14ac:dyDescent="0.35">
      <c r="A8" s="6" t="s">
        <v>31</v>
      </c>
      <c r="B8" s="6">
        <v>50</v>
      </c>
      <c r="C8" s="6" t="s">
        <v>126</v>
      </c>
      <c r="D8" s="6">
        <v>0</v>
      </c>
      <c r="E8" s="6">
        <v>0</v>
      </c>
      <c r="F8" s="6">
        <f t="shared" si="0"/>
        <v>70</v>
      </c>
    </row>
    <row r="9" spans="1:6" x14ac:dyDescent="0.35">
      <c r="A9" s="6" t="s">
        <v>23</v>
      </c>
      <c r="B9" s="6">
        <v>50</v>
      </c>
      <c r="C9" s="6" t="s">
        <v>126</v>
      </c>
      <c r="D9" s="6">
        <v>2</v>
      </c>
      <c r="E9" s="6">
        <v>2</v>
      </c>
      <c r="F9" s="6">
        <f t="shared" si="0"/>
        <v>70</v>
      </c>
    </row>
    <row r="10" spans="1:6" x14ac:dyDescent="0.35">
      <c r="A10" s="6" t="s">
        <v>32</v>
      </c>
      <c r="B10" s="6">
        <v>50</v>
      </c>
      <c r="C10" s="6" t="s">
        <v>126</v>
      </c>
      <c r="D10" s="6">
        <v>1</v>
      </c>
      <c r="E10" s="6">
        <v>1</v>
      </c>
      <c r="F10" s="6">
        <f t="shared" si="0"/>
        <v>70</v>
      </c>
    </row>
    <row r="11" spans="1:6" x14ac:dyDescent="0.35">
      <c r="A11" s="6" t="s">
        <v>53</v>
      </c>
      <c r="B11" s="6">
        <v>50</v>
      </c>
      <c r="C11" s="6" t="s">
        <v>126</v>
      </c>
      <c r="D11" s="6">
        <v>1</v>
      </c>
      <c r="E11" s="6">
        <v>1</v>
      </c>
      <c r="F11" s="6">
        <f t="shared" si="0"/>
        <v>70</v>
      </c>
    </row>
    <row r="12" spans="1:6" x14ac:dyDescent="0.35">
      <c r="A12" s="6" t="s">
        <v>45</v>
      </c>
      <c r="B12" s="6">
        <v>50</v>
      </c>
      <c r="C12" s="6" t="s">
        <v>126</v>
      </c>
      <c r="D12" s="6">
        <v>0</v>
      </c>
      <c r="E12" s="6">
        <v>0</v>
      </c>
      <c r="F12" s="6">
        <f t="shared" si="0"/>
        <v>70</v>
      </c>
    </row>
    <row r="13" spans="1:6" x14ac:dyDescent="0.35">
      <c r="A13" s="6" t="s">
        <v>46</v>
      </c>
      <c r="B13" s="6">
        <v>50</v>
      </c>
      <c r="C13" s="6" t="s">
        <v>126</v>
      </c>
      <c r="D13" s="6">
        <v>0</v>
      </c>
      <c r="E13" s="6">
        <v>0</v>
      </c>
      <c r="F13" s="6">
        <f t="shared" si="0"/>
        <v>70</v>
      </c>
    </row>
    <row r="14" spans="1:6" x14ac:dyDescent="0.35">
      <c r="A14" s="6" t="s">
        <v>33</v>
      </c>
      <c r="B14" s="6">
        <v>50</v>
      </c>
      <c r="C14" s="6" t="s">
        <v>126</v>
      </c>
      <c r="D14" s="6">
        <v>0</v>
      </c>
      <c r="E14" s="6">
        <v>0</v>
      </c>
      <c r="F14" s="6">
        <f t="shared" si="0"/>
        <v>70</v>
      </c>
    </row>
    <row r="15" spans="1:6" x14ac:dyDescent="0.35">
      <c r="A15" s="6" t="s">
        <v>28</v>
      </c>
      <c r="B15" s="6">
        <v>50</v>
      </c>
      <c r="C15" s="6" t="s">
        <v>126</v>
      </c>
      <c r="D15" s="6">
        <v>0</v>
      </c>
      <c r="E15" s="6">
        <v>0</v>
      </c>
      <c r="F15" s="6">
        <f t="shared" si="0"/>
        <v>70</v>
      </c>
    </row>
    <row r="16" spans="1:6" x14ac:dyDescent="0.35">
      <c r="A16" s="6" t="s">
        <v>12</v>
      </c>
      <c r="B16" s="6">
        <v>50</v>
      </c>
      <c r="C16" s="6" t="s">
        <v>126</v>
      </c>
      <c r="D16" s="6">
        <v>0</v>
      </c>
      <c r="E16" s="6">
        <v>0</v>
      </c>
      <c r="F16" s="6">
        <f t="shared" si="0"/>
        <v>70</v>
      </c>
    </row>
    <row r="17" spans="1:6" x14ac:dyDescent="0.35">
      <c r="A17" s="6" t="s">
        <v>57</v>
      </c>
      <c r="B17" s="6">
        <v>30</v>
      </c>
      <c r="C17" s="6" t="s">
        <v>126</v>
      </c>
      <c r="D17" s="6">
        <v>0</v>
      </c>
      <c r="E17" s="6">
        <v>1</v>
      </c>
      <c r="F17" s="6">
        <f t="shared" si="0"/>
        <v>58</v>
      </c>
    </row>
    <row r="18" spans="1:6" x14ac:dyDescent="0.35">
      <c r="A18" s="6" t="s">
        <v>18</v>
      </c>
      <c r="B18" s="6">
        <v>90</v>
      </c>
      <c r="C18" s="6" t="s">
        <v>127</v>
      </c>
      <c r="D18" s="6">
        <v>2</v>
      </c>
      <c r="E18" s="6">
        <v>0</v>
      </c>
      <c r="F18" s="6">
        <f t="shared" si="0"/>
        <v>54</v>
      </c>
    </row>
    <row r="19" spans="1:6" x14ac:dyDescent="0.35">
      <c r="A19" s="6" t="s">
        <v>26</v>
      </c>
      <c r="B19" s="6">
        <v>90</v>
      </c>
      <c r="C19" s="6" t="s">
        <v>127</v>
      </c>
      <c r="D19" s="6">
        <v>2</v>
      </c>
      <c r="E19" s="6">
        <v>0</v>
      </c>
      <c r="F19" s="6">
        <f t="shared" si="0"/>
        <v>54</v>
      </c>
    </row>
    <row r="20" spans="1:6" x14ac:dyDescent="0.35">
      <c r="A20" s="6" t="s">
        <v>29</v>
      </c>
      <c r="B20" s="6">
        <v>90</v>
      </c>
      <c r="C20" s="6" t="s">
        <v>127</v>
      </c>
      <c r="D20" s="6">
        <v>2</v>
      </c>
      <c r="E20" s="6">
        <v>0</v>
      </c>
      <c r="F20" s="6">
        <f t="shared" si="0"/>
        <v>54</v>
      </c>
    </row>
    <row r="21" spans="1:6" x14ac:dyDescent="0.35">
      <c r="A21" s="6" t="s">
        <v>24</v>
      </c>
      <c r="B21" s="6">
        <v>90</v>
      </c>
      <c r="C21" s="6" t="s">
        <v>127</v>
      </c>
      <c r="D21" s="6">
        <v>2</v>
      </c>
      <c r="E21" s="6">
        <v>0</v>
      </c>
      <c r="F21" s="6">
        <f t="shared" si="0"/>
        <v>54</v>
      </c>
    </row>
    <row r="22" spans="1:6" x14ac:dyDescent="0.35">
      <c r="A22" s="6" t="s">
        <v>51</v>
      </c>
      <c r="B22" s="6">
        <v>90</v>
      </c>
      <c r="C22" s="6" t="s">
        <v>127</v>
      </c>
      <c r="D22" s="6">
        <v>2</v>
      </c>
      <c r="E22" s="6">
        <v>0</v>
      </c>
      <c r="F22" s="6">
        <f t="shared" si="0"/>
        <v>54</v>
      </c>
    </row>
    <row r="23" spans="1:6" x14ac:dyDescent="0.35">
      <c r="A23" s="6" t="s">
        <v>25</v>
      </c>
      <c r="B23" s="6">
        <v>90</v>
      </c>
      <c r="C23" s="6" t="s">
        <v>127</v>
      </c>
      <c r="D23" s="6">
        <v>2</v>
      </c>
      <c r="E23" s="6">
        <v>0</v>
      </c>
      <c r="F23" s="6">
        <f t="shared" si="0"/>
        <v>54</v>
      </c>
    </row>
    <row r="24" spans="1:6" x14ac:dyDescent="0.35">
      <c r="A24" s="6" t="s">
        <v>36</v>
      </c>
      <c r="B24" s="6">
        <v>90</v>
      </c>
      <c r="C24" s="6" t="s">
        <v>127</v>
      </c>
      <c r="D24" s="6">
        <v>2</v>
      </c>
      <c r="E24" s="6">
        <v>0</v>
      </c>
      <c r="F24" s="6">
        <f t="shared" si="0"/>
        <v>54</v>
      </c>
    </row>
    <row r="25" spans="1:6" x14ac:dyDescent="0.35">
      <c r="A25" s="6" t="s">
        <v>64</v>
      </c>
      <c r="B25" s="6">
        <v>90</v>
      </c>
      <c r="C25" s="6" t="s">
        <v>127</v>
      </c>
      <c r="D25" s="6">
        <v>3</v>
      </c>
      <c r="E25" s="6">
        <v>1</v>
      </c>
      <c r="F25" s="6">
        <f t="shared" si="0"/>
        <v>54</v>
      </c>
    </row>
    <row r="26" spans="1:6" x14ac:dyDescent="0.35">
      <c r="A26" s="6" t="s">
        <v>15</v>
      </c>
      <c r="B26" s="6">
        <v>90</v>
      </c>
      <c r="C26" s="6" t="s">
        <v>127</v>
      </c>
      <c r="D26" s="6">
        <v>3</v>
      </c>
      <c r="E26" s="6">
        <v>1</v>
      </c>
      <c r="F26" s="6">
        <f t="shared" si="0"/>
        <v>54</v>
      </c>
    </row>
    <row r="27" spans="1:6" x14ac:dyDescent="0.35">
      <c r="A27" s="6" t="s">
        <v>49</v>
      </c>
      <c r="B27" s="6">
        <v>90</v>
      </c>
      <c r="C27" s="6" t="s">
        <v>127</v>
      </c>
      <c r="D27" s="6">
        <v>3</v>
      </c>
      <c r="E27" s="6">
        <v>1</v>
      </c>
      <c r="F27" s="6">
        <f t="shared" si="0"/>
        <v>54</v>
      </c>
    </row>
    <row r="28" spans="1:6" x14ac:dyDescent="0.35">
      <c r="A28" s="6" t="s">
        <v>48</v>
      </c>
      <c r="B28" s="6">
        <v>70</v>
      </c>
      <c r="C28" s="6" t="s">
        <v>127</v>
      </c>
      <c r="D28" s="6">
        <v>1</v>
      </c>
      <c r="E28" s="6">
        <v>0</v>
      </c>
      <c r="F28" s="6">
        <f t="shared" si="0"/>
        <v>42</v>
      </c>
    </row>
    <row r="29" spans="1:6" x14ac:dyDescent="0.35">
      <c r="A29" s="6" t="s">
        <v>55</v>
      </c>
      <c r="B29" s="6">
        <v>70</v>
      </c>
      <c r="C29" s="6" t="s">
        <v>127</v>
      </c>
      <c r="D29" s="6">
        <v>1</v>
      </c>
      <c r="E29" s="6">
        <v>0</v>
      </c>
      <c r="F29" s="6">
        <f t="shared" si="0"/>
        <v>42</v>
      </c>
    </row>
    <row r="30" spans="1:6" x14ac:dyDescent="0.35">
      <c r="A30" s="6" t="s">
        <v>13</v>
      </c>
      <c r="B30" s="6">
        <v>70</v>
      </c>
      <c r="C30" s="6" t="s">
        <v>127</v>
      </c>
      <c r="D30" s="6">
        <v>2</v>
      </c>
      <c r="E30" s="6">
        <v>1</v>
      </c>
      <c r="F30" s="6">
        <f t="shared" si="0"/>
        <v>42</v>
      </c>
    </row>
    <row r="31" spans="1:6" x14ac:dyDescent="0.35">
      <c r="A31" s="6" t="s">
        <v>10</v>
      </c>
      <c r="B31" s="6">
        <v>70</v>
      </c>
      <c r="C31" s="6" t="s">
        <v>127</v>
      </c>
      <c r="D31" s="6">
        <v>1</v>
      </c>
      <c r="E31" s="6">
        <v>0</v>
      </c>
      <c r="F31" s="6">
        <f t="shared" si="0"/>
        <v>42</v>
      </c>
    </row>
    <row r="32" spans="1:6" x14ac:dyDescent="0.35">
      <c r="A32" s="6" t="s">
        <v>42</v>
      </c>
      <c r="B32" s="6">
        <v>70</v>
      </c>
      <c r="C32" s="6" t="s">
        <v>127</v>
      </c>
      <c r="D32" s="6">
        <v>1</v>
      </c>
      <c r="E32" s="6">
        <v>0</v>
      </c>
      <c r="F32" s="6">
        <f t="shared" si="0"/>
        <v>42</v>
      </c>
    </row>
    <row r="33" spans="1:6" x14ac:dyDescent="0.35">
      <c r="A33" s="6" t="s">
        <v>66</v>
      </c>
      <c r="B33" s="6">
        <v>70</v>
      </c>
      <c r="C33" s="6" t="s">
        <v>127</v>
      </c>
      <c r="D33" s="6">
        <v>1</v>
      </c>
      <c r="E33" s="6">
        <v>0</v>
      </c>
      <c r="F33" s="6">
        <f t="shared" si="0"/>
        <v>42</v>
      </c>
    </row>
    <row r="34" spans="1:6" x14ac:dyDescent="0.35">
      <c r="A34" s="6" t="s">
        <v>52</v>
      </c>
      <c r="B34" s="6">
        <v>50</v>
      </c>
      <c r="C34" s="6" t="s">
        <v>127</v>
      </c>
      <c r="D34" s="6">
        <v>0</v>
      </c>
      <c r="E34" s="6">
        <v>0</v>
      </c>
      <c r="F34" s="6">
        <f t="shared" ref="F34:F65" si="1">ROUND(B34*0.6+IF(C34="Ya",40,0),1)</f>
        <v>30</v>
      </c>
    </row>
    <row r="35" spans="1:6" x14ac:dyDescent="0.35">
      <c r="A35" s="6" t="s">
        <v>40</v>
      </c>
      <c r="B35" s="6">
        <v>50</v>
      </c>
      <c r="C35" s="6" t="s">
        <v>127</v>
      </c>
      <c r="D35" s="6">
        <v>0</v>
      </c>
      <c r="E35" s="6">
        <v>0</v>
      </c>
      <c r="F35" s="6">
        <f t="shared" si="1"/>
        <v>30</v>
      </c>
    </row>
    <row r="36" spans="1:6" x14ac:dyDescent="0.35">
      <c r="A36" s="6" t="s">
        <v>60</v>
      </c>
      <c r="B36" s="6">
        <v>50</v>
      </c>
      <c r="C36" s="6" t="s">
        <v>127</v>
      </c>
      <c r="D36" s="6">
        <v>1</v>
      </c>
      <c r="E36" s="6">
        <v>1</v>
      </c>
      <c r="F36" s="6">
        <f t="shared" si="1"/>
        <v>30</v>
      </c>
    </row>
    <row r="37" spans="1:6" x14ac:dyDescent="0.35">
      <c r="A37" s="6" t="s">
        <v>47</v>
      </c>
      <c r="B37" s="6">
        <v>50</v>
      </c>
      <c r="C37" s="6" t="s">
        <v>127</v>
      </c>
      <c r="D37" s="6">
        <v>0</v>
      </c>
      <c r="E37" s="6">
        <v>0</v>
      </c>
      <c r="F37" s="6">
        <f t="shared" si="1"/>
        <v>30</v>
      </c>
    </row>
    <row r="38" spans="1:6" x14ac:dyDescent="0.35">
      <c r="A38" s="6" t="s">
        <v>62</v>
      </c>
      <c r="B38" s="6">
        <v>50</v>
      </c>
      <c r="C38" s="6" t="s">
        <v>127</v>
      </c>
      <c r="D38" s="6">
        <v>1</v>
      </c>
      <c r="E38" s="6">
        <v>1</v>
      </c>
      <c r="F38" s="6">
        <f t="shared" si="1"/>
        <v>30</v>
      </c>
    </row>
    <row r="39" spans="1:6" x14ac:dyDescent="0.35">
      <c r="A39" s="6" t="s">
        <v>65</v>
      </c>
      <c r="B39" s="6">
        <v>50</v>
      </c>
      <c r="C39" s="6" t="s">
        <v>127</v>
      </c>
      <c r="D39" s="6">
        <v>0</v>
      </c>
      <c r="E39" s="6">
        <v>0</v>
      </c>
      <c r="F39" s="6">
        <f t="shared" si="1"/>
        <v>30</v>
      </c>
    </row>
    <row r="40" spans="1:6" x14ac:dyDescent="0.35">
      <c r="A40" s="6" t="s">
        <v>44</v>
      </c>
      <c r="B40" s="6">
        <v>50</v>
      </c>
      <c r="C40" s="6" t="s">
        <v>127</v>
      </c>
      <c r="D40" s="6">
        <v>1</v>
      </c>
      <c r="E40" s="6">
        <v>1</v>
      </c>
      <c r="F40" s="6">
        <f t="shared" si="1"/>
        <v>30</v>
      </c>
    </row>
    <row r="41" spans="1:6" x14ac:dyDescent="0.35">
      <c r="A41" s="6" t="s">
        <v>58</v>
      </c>
      <c r="B41" s="6">
        <v>50</v>
      </c>
      <c r="C41" s="6" t="s">
        <v>127</v>
      </c>
      <c r="D41" s="6">
        <v>0</v>
      </c>
      <c r="E41" s="6">
        <v>0</v>
      </c>
      <c r="F41" s="6">
        <f t="shared" si="1"/>
        <v>30</v>
      </c>
    </row>
    <row r="42" spans="1:6" x14ac:dyDescent="0.35">
      <c r="A42" s="6" t="s">
        <v>43</v>
      </c>
      <c r="B42" s="6">
        <v>50</v>
      </c>
      <c r="C42" s="6" t="s">
        <v>127</v>
      </c>
      <c r="D42" s="6">
        <v>1</v>
      </c>
      <c r="E42" s="6">
        <v>1</v>
      </c>
      <c r="F42" s="6">
        <f t="shared" si="1"/>
        <v>30</v>
      </c>
    </row>
    <row r="43" spans="1:6" x14ac:dyDescent="0.35">
      <c r="A43" s="6" t="s">
        <v>27</v>
      </c>
      <c r="B43" s="6">
        <v>50</v>
      </c>
      <c r="C43" s="6" t="s">
        <v>127</v>
      </c>
      <c r="D43" s="6">
        <v>0</v>
      </c>
      <c r="E43" s="6">
        <v>0</v>
      </c>
      <c r="F43" s="6">
        <f t="shared" si="1"/>
        <v>30</v>
      </c>
    </row>
    <row r="44" spans="1:6" x14ac:dyDescent="0.35">
      <c r="A44" s="6" t="s">
        <v>56</v>
      </c>
      <c r="B44" s="6">
        <v>50</v>
      </c>
      <c r="C44" s="6" t="s">
        <v>127</v>
      </c>
      <c r="D44" s="6">
        <v>0</v>
      </c>
      <c r="E44" s="6">
        <v>0</v>
      </c>
      <c r="F44" s="6">
        <f t="shared" si="1"/>
        <v>30</v>
      </c>
    </row>
    <row r="45" spans="1:6" x14ac:dyDescent="0.35">
      <c r="A45" s="6" t="s">
        <v>61</v>
      </c>
      <c r="B45" s="6">
        <v>50</v>
      </c>
      <c r="C45" s="6" t="s">
        <v>127</v>
      </c>
      <c r="D45" s="6">
        <v>1</v>
      </c>
      <c r="E45" s="6">
        <v>1</v>
      </c>
      <c r="F45" s="6">
        <f t="shared" si="1"/>
        <v>30</v>
      </c>
    </row>
    <row r="46" spans="1:6" x14ac:dyDescent="0.35">
      <c r="A46" s="6" t="s">
        <v>22</v>
      </c>
      <c r="B46" s="6">
        <v>50</v>
      </c>
      <c r="C46" s="6" t="s">
        <v>127</v>
      </c>
      <c r="D46" s="6">
        <v>0</v>
      </c>
      <c r="E46" s="6">
        <v>0</v>
      </c>
      <c r="F46" s="6">
        <f t="shared" si="1"/>
        <v>30</v>
      </c>
    </row>
    <row r="47" spans="1:6" x14ac:dyDescent="0.35">
      <c r="A47" s="6" t="s">
        <v>50</v>
      </c>
      <c r="B47" s="6">
        <v>50</v>
      </c>
      <c r="C47" s="6" t="s">
        <v>127</v>
      </c>
      <c r="D47" s="6">
        <v>0</v>
      </c>
      <c r="E47" s="6">
        <v>0</v>
      </c>
      <c r="F47" s="6">
        <f t="shared" si="1"/>
        <v>30</v>
      </c>
    </row>
    <row r="48" spans="1:6" x14ac:dyDescent="0.35">
      <c r="A48" s="6" t="s">
        <v>63</v>
      </c>
      <c r="B48" s="6">
        <v>50</v>
      </c>
      <c r="C48" s="6" t="s">
        <v>127</v>
      </c>
      <c r="D48" s="6">
        <v>0</v>
      </c>
      <c r="E48" s="6">
        <v>0</v>
      </c>
      <c r="F48" s="6">
        <f t="shared" si="1"/>
        <v>30</v>
      </c>
    </row>
    <row r="49" spans="1:6" x14ac:dyDescent="0.35">
      <c r="A49" s="6" t="s">
        <v>68</v>
      </c>
      <c r="B49" s="6">
        <v>50</v>
      </c>
      <c r="C49" s="6" t="s">
        <v>127</v>
      </c>
      <c r="D49" s="6">
        <v>0</v>
      </c>
      <c r="E49" s="6">
        <v>0</v>
      </c>
      <c r="F49" s="6">
        <f t="shared" si="1"/>
        <v>30</v>
      </c>
    </row>
    <row r="50" spans="1:6" x14ac:dyDescent="0.35">
      <c r="A50" s="6" t="s">
        <v>35</v>
      </c>
      <c r="B50" s="6">
        <v>50</v>
      </c>
      <c r="C50" s="6" t="s">
        <v>127</v>
      </c>
      <c r="D50" s="6">
        <v>1</v>
      </c>
      <c r="E50" s="6">
        <v>1</v>
      </c>
      <c r="F50" s="6">
        <f t="shared" si="1"/>
        <v>30</v>
      </c>
    </row>
    <row r="51" spans="1:6" x14ac:dyDescent="0.35">
      <c r="A51" s="6" t="s">
        <v>30</v>
      </c>
      <c r="B51" s="6">
        <v>50</v>
      </c>
      <c r="C51" s="6" t="s">
        <v>127</v>
      </c>
      <c r="D51" s="6">
        <v>1</v>
      </c>
      <c r="E51" s="6">
        <v>1</v>
      </c>
      <c r="F51" s="6">
        <f t="shared" si="1"/>
        <v>30</v>
      </c>
    </row>
    <row r="52" spans="1:6" x14ac:dyDescent="0.35">
      <c r="A52" s="6" t="s">
        <v>69</v>
      </c>
      <c r="B52" s="6">
        <v>50</v>
      </c>
      <c r="C52" s="6" t="s">
        <v>127</v>
      </c>
      <c r="D52" s="6">
        <v>0</v>
      </c>
      <c r="E52" s="6">
        <v>0</v>
      </c>
      <c r="F52" s="6">
        <f t="shared" si="1"/>
        <v>30</v>
      </c>
    </row>
    <row r="53" spans="1:6" x14ac:dyDescent="0.35">
      <c r="A53" s="6" t="s">
        <v>34</v>
      </c>
      <c r="B53" s="6">
        <v>50</v>
      </c>
      <c r="C53" s="6" t="s">
        <v>127</v>
      </c>
      <c r="D53" s="6">
        <v>0</v>
      </c>
      <c r="E53" s="6">
        <v>0</v>
      </c>
      <c r="F53" s="6">
        <f t="shared" si="1"/>
        <v>30</v>
      </c>
    </row>
    <row r="54" spans="1:6" x14ac:dyDescent="0.35">
      <c r="A54" s="6" t="s">
        <v>67</v>
      </c>
      <c r="B54" s="6">
        <v>50</v>
      </c>
      <c r="C54" s="6" t="s">
        <v>127</v>
      </c>
      <c r="D54" s="6">
        <v>1</v>
      </c>
      <c r="E54" s="6">
        <v>1</v>
      </c>
      <c r="F54" s="6">
        <f t="shared" si="1"/>
        <v>30</v>
      </c>
    </row>
    <row r="55" spans="1:6" x14ac:dyDescent="0.35">
      <c r="A55" s="6" t="s">
        <v>75</v>
      </c>
      <c r="B55" s="6">
        <v>30</v>
      </c>
      <c r="C55" s="6" t="s">
        <v>127</v>
      </c>
      <c r="D55" s="6">
        <v>0</v>
      </c>
      <c r="E55" s="6">
        <v>1</v>
      </c>
      <c r="F55" s="6">
        <f t="shared" si="1"/>
        <v>18</v>
      </c>
    </row>
    <row r="56" spans="1:6" x14ac:dyDescent="0.35">
      <c r="A56" s="6" t="s">
        <v>38</v>
      </c>
      <c r="B56" s="6">
        <v>30</v>
      </c>
      <c r="C56" s="6" t="s">
        <v>127</v>
      </c>
      <c r="D56" s="6">
        <v>4</v>
      </c>
      <c r="E56" s="6">
        <v>5</v>
      </c>
      <c r="F56" s="6">
        <f t="shared" si="1"/>
        <v>18</v>
      </c>
    </row>
    <row r="57" spans="1:6" x14ac:dyDescent="0.35">
      <c r="A57" s="6" t="s">
        <v>70</v>
      </c>
      <c r="B57" s="6">
        <v>30</v>
      </c>
      <c r="C57" s="6" t="s">
        <v>127</v>
      </c>
      <c r="D57" s="6">
        <v>1</v>
      </c>
      <c r="E57" s="6">
        <v>2</v>
      </c>
      <c r="F57" s="6">
        <f t="shared" si="1"/>
        <v>18</v>
      </c>
    </row>
    <row r="58" spans="1:6" x14ac:dyDescent="0.35">
      <c r="A58" s="6" t="s">
        <v>74</v>
      </c>
      <c r="B58" s="6">
        <v>30</v>
      </c>
      <c r="C58" s="6" t="s">
        <v>127</v>
      </c>
      <c r="D58" s="6">
        <v>1</v>
      </c>
      <c r="E58" s="6">
        <v>2</v>
      </c>
      <c r="F58" s="6">
        <f t="shared" si="1"/>
        <v>18</v>
      </c>
    </row>
    <row r="59" spans="1:6" x14ac:dyDescent="0.35">
      <c r="A59" s="6" t="s">
        <v>54</v>
      </c>
      <c r="B59" s="6">
        <v>30</v>
      </c>
      <c r="C59" s="6" t="s">
        <v>127</v>
      </c>
      <c r="D59" s="6">
        <v>0</v>
      </c>
      <c r="E59" s="6">
        <v>1</v>
      </c>
      <c r="F59" s="6">
        <f t="shared" si="1"/>
        <v>18</v>
      </c>
    </row>
    <row r="60" spans="1:6" x14ac:dyDescent="0.35">
      <c r="A60" s="6" t="s">
        <v>59</v>
      </c>
      <c r="B60" s="6">
        <v>30</v>
      </c>
      <c r="C60" s="6" t="s">
        <v>127</v>
      </c>
      <c r="D60" s="6">
        <v>1</v>
      </c>
      <c r="E60" s="6">
        <v>2</v>
      </c>
      <c r="F60" s="6">
        <f t="shared" si="1"/>
        <v>18</v>
      </c>
    </row>
    <row r="61" spans="1:6" x14ac:dyDescent="0.35">
      <c r="A61" s="6" t="s">
        <v>71</v>
      </c>
      <c r="B61" s="6">
        <v>30</v>
      </c>
      <c r="C61" s="6" t="s">
        <v>127</v>
      </c>
      <c r="D61" s="6">
        <v>1</v>
      </c>
      <c r="E61" s="6">
        <v>2</v>
      </c>
      <c r="F61" s="6">
        <f t="shared" si="1"/>
        <v>18</v>
      </c>
    </row>
    <row r="62" spans="1:6" x14ac:dyDescent="0.35">
      <c r="A62" s="6" t="s">
        <v>73</v>
      </c>
      <c r="B62" s="6">
        <v>10</v>
      </c>
      <c r="C62" s="6" t="s">
        <v>127</v>
      </c>
      <c r="D62" s="6">
        <v>0</v>
      </c>
      <c r="E62" s="6">
        <v>2</v>
      </c>
      <c r="F62" s="6">
        <f t="shared" si="1"/>
        <v>6</v>
      </c>
    </row>
    <row r="63" spans="1:6" x14ac:dyDescent="0.35">
      <c r="A63" s="6" t="s">
        <v>37</v>
      </c>
      <c r="B63" s="6">
        <v>10</v>
      </c>
      <c r="C63" s="6" t="s">
        <v>127</v>
      </c>
      <c r="D63" s="6">
        <v>0</v>
      </c>
      <c r="E63" s="6">
        <v>2</v>
      </c>
      <c r="F63" s="6">
        <f t="shared" si="1"/>
        <v>6</v>
      </c>
    </row>
    <row r="64" spans="1:6" x14ac:dyDescent="0.35">
      <c r="A64" s="6" t="s">
        <v>72</v>
      </c>
      <c r="B64" s="6">
        <v>10</v>
      </c>
      <c r="C64" s="6" t="s">
        <v>127</v>
      </c>
      <c r="D64" s="6">
        <v>1</v>
      </c>
      <c r="E64" s="6">
        <v>3</v>
      </c>
      <c r="F64" s="6">
        <f t="shared" si="1"/>
        <v>6</v>
      </c>
    </row>
    <row r="65" spans="1:6" x14ac:dyDescent="0.35">
      <c r="A65" s="6" t="s">
        <v>76</v>
      </c>
      <c r="B65" s="6">
        <v>0</v>
      </c>
      <c r="C65" s="6" t="s">
        <v>127</v>
      </c>
      <c r="D65" s="6">
        <v>0</v>
      </c>
      <c r="E65" s="6">
        <v>3</v>
      </c>
      <c r="F65" s="6">
        <f t="shared" si="1"/>
        <v>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5"/>
  <sheetViews>
    <sheetView zoomScaleNormal="100" workbookViewId="0">
      <pane ySplit="1" topLeftCell="A2" activePane="bottomLeft" state="frozen"/>
      <selection pane="bottomLeft" activeCell="B23" sqref="B23"/>
    </sheetView>
  </sheetViews>
  <sheetFormatPr defaultColWidth="8.6328125" defaultRowHeight="14.5" x14ac:dyDescent="0.35"/>
  <cols>
    <col min="1" max="2" width="45" customWidth="1"/>
  </cols>
  <sheetData>
    <row r="1" spans="1:2" x14ac:dyDescent="0.35">
      <c r="A1" s="4" t="s">
        <v>1</v>
      </c>
      <c r="B1" s="4" t="s">
        <v>132</v>
      </c>
    </row>
    <row r="2" spans="1:2" x14ac:dyDescent="0.35">
      <c r="A2" s="6" t="s">
        <v>50</v>
      </c>
      <c r="B2" s="6" t="s">
        <v>133</v>
      </c>
    </row>
    <row r="3" spans="1:2" x14ac:dyDescent="0.35">
      <c r="A3" s="6" t="s">
        <v>55</v>
      </c>
      <c r="B3" s="6" t="s">
        <v>134</v>
      </c>
    </row>
    <row r="4" spans="1:2" x14ac:dyDescent="0.35">
      <c r="A4" s="6" t="s">
        <v>40</v>
      </c>
      <c r="B4" s="6" t="s">
        <v>135</v>
      </c>
    </row>
    <row r="5" spans="1:2" x14ac:dyDescent="0.35">
      <c r="A5" s="6" t="s">
        <v>52</v>
      </c>
      <c r="B5" s="6" t="s">
        <v>136</v>
      </c>
    </row>
    <row r="6" spans="1:2" x14ac:dyDescent="0.35">
      <c r="A6" s="6" t="s">
        <v>64</v>
      </c>
      <c r="B6" s="6" t="s">
        <v>137</v>
      </c>
    </row>
    <row r="7" spans="1:2" x14ac:dyDescent="0.35">
      <c r="A7" s="6" t="s">
        <v>38</v>
      </c>
      <c r="B7" s="6" t="s">
        <v>138</v>
      </c>
    </row>
    <row r="8" spans="1:2" x14ac:dyDescent="0.35">
      <c r="A8" s="6" t="s">
        <v>15</v>
      </c>
      <c r="B8" s="6" t="s">
        <v>139</v>
      </c>
    </row>
    <row r="9" spans="1:2" x14ac:dyDescent="0.35">
      <c r="A9" s="6" t="s">
        <v>23</v>
      </c>
      <c r="B9" s="6" t="s">
        <v>140</v>
      </c>
    </row>
    <row r="10" spans="1:2" x14ac:dyDescent="0.35">
      <c r="A10" s="6" t="s">
        <v>16</v>
      </c>
      <c r="B10" s="6" t="s">
        <v>141</v>
      </c>
    </row>
    <row r="11" spans="1:2" x14ac:dyDescent="0.35">
      <c r="A11" s="6" t="s">
        <v>18</v>
      </c>
      <c r="B11" s="6" t="s">
        <v>142</v>
      </c>
    </row>
    <row r="12" spans="1:2" x14ac:dyDescent="0.35">
      <c r="A12" s="6" t="s">
        <v>13</v>
      </c>
      <c r="B12" s="6" t="s">
        <v>143</v>
      </c>
    </row>
    <row r="13" spans="1:2" x14ac:dyDescent="0.35">
      <c r="A13" s="6" t="s">
        <v>31</v>
      </c>
      <c r="B13" s="6" t="s">
        <v>144</v>
      </c>
    </row>
    <row r="14" spans="1:2" x14ac:dyDescent="0.35">
      <c r="A14" s="6" t="s">
        <v>21</v>
      </c>
      <c r="B14" s="6" t="s">
        <v>145</v>
      </c>
    </row>
    <row r="15" spans="1:2" x14ac:dyDescent="0.35">
      <c r="A15" s="6" t="s">
        <v>49</v>
      </c>
      <c r="B15" s="6" t="s">
        <v>146</v>
      </c>
    </row>
    <row r="16" spans="1:2" x14ac:dyDescent="0.35">
      <c r="A16" s="6" t="s">
        <v>63</v>
      </c>
      <c r="B16" s="6" t="s">
        <v>147</v>
      </c>
    </row>
    <row r="17" spans="1:2" x14ac:dyDescent="0.35">
      <c r="A17" s="6" t="s">
        <v>28</v>
      </c>
      <c r="B17" s="6" t="s">
        <v>148</v>
      </c>
    </row>
    <row r="18" spans="1:2" x14ac:dyDescent="0.35">
      <c r="A18" s="6" t="s">
        <v>39</v>
      </c>
      <c r="B18" s="6" t="s">
        <v>149</v>
      </c>
    </row>
    <row r="19" spans="1:2" x14ac:dyDescent="0.35">
      <c r="A19" s="6" t="s">
        <v>37</v>
      </c>
      <c r="B19" s="6" t="s">
        <v>150</v>
      </c>
    </row>
    <row r="20" spans="1:2" x14ac:dyDescent="0.35">
      <c r="A20" s="6" t="s">
        <v>72</v>
      </c>
      <c r="B20" s="6" t="s">
        <v>151</v>
      </c>
    </row>
    <row r="21" spans="1:2" x14ac:dyDescent="0.35">
      <c r="A21" s="6" t="s">
        <v>10</v>
      </c>
      <c r="B21" s="6" t="s">
        <v>152</v>
      </c>
    </row>
    <row r="22" spans="1:2" x14ac:dyDescent="0.35">
      <c r="A22" s="6" t="s">
        <v>43</v>
      </c>
      <c r="B22" s="6" t="s">
        <v>153</v>
      </c>
    </row>
    <row r="23" spans="1:2" x14ac:dyDescent="0.35">
      <c r="A23" s="6" t="s">
        <v>22</v>
      </c>
      <c r="B23" s="6" t="s">
        <v>154</v>
      </c>
    </row>
    <row r="24" spans="1:2" x14ac:dyDescent="0.35">
      <c r="A24" s="6" t="s">
        <v>70</v>
      </c>
      <c r="B24" s="6" t="s">
        <v>155</v>
      </c>
    </row>
    <row r="25" spans="1:2" x14ac:dyDescent="0.35">
      <c r="A25" s="6" t="s">
        <v>61</v>
      </c>
      <c r="B25" s="6" t="s">
        <v>156</v>
      </c>
    </row>
    <row r="26" spans="1:2" x14ac:dyDescent="0.35">
      <c r="A26" s="6" t="s">
        <v>12</v>
      </c>
      <c r="B26" s="6" t="s">
        <v>157</v>
      </c>
    </row>
    <row r="27" spans="1:2" x14ac:dyDescent="0.35">
      <c r="A27" s="6" t="s">
        <v>27</v>
      </c>
      <c r="B27" s="6" t="s">
        <v>158</v>
      </c>
    </row>
    <row r="28" spans="1:2" x14ac:dyDescent="0.35">
      <c r="A28" s="6" t="s">
        <v>56</v>
      </c>
      <c r="B28" s="6" t="s">
        <v>159</v>
      </c>
    </row>
    <row r="29" spans="1:2" x14ac:dyDescent="0.35">
      <c r="A29" s="6" t="s">
        <v>58</v>
      </c>
      <c r="B29" s="6" t="s">
        <v>160</v>
      </c>
    </row>
    <row r="30" spans="1:2" x14ac:dyDescent="0.35">
      <c r="A30" s="6" t="s">
        <v>75</v>
      </c>
      <c r="B30" s="6" t="s">
        <v>161</v>
      </c>
    </row>
    <row r="31" spans="1:2" x14ac:dyDescent="0.35">
      <c r="A31" s="6" t="s">
        <v>68</v>
      </c>
      <c r="B31" s="6" t="s">
        <v>162</v>
      </c>
    </row>
    <row r="32" spans="1:2" x14ac:dyDescent="0.35">
      <c r="A32" s="6" t="s">
        <v>73</v>
      </c>
      <c r="B32" s="6" t="s">
        <v>163</v>
      </c>
    </row>
    <row r="33" spans="1:2" x14ac:dyDescent="0.35">
      <c r="A33" s="6" t="s">
        <v>71</v>
      </c>
      <c r="B33" s="6" t="s">
        <v>164</v>
      </c>
    </row>
    <row r="34" spans="1:2" x14ac:dyDescent="0.35">
      <c r="A34" s="6" t="s">
        <v>66</v>
      </c>
      <c r="B34" s="6" t="s">
        <v>165</v>
      </c>
    </row>
    <row r="35" spans="1:2" x14ac:dyDescent="0.35">
      <c r="A35" s="6" t="s">
        <v>65</v>
      </c>
      <c r="B35" s="6" t="s">
        <v>166</v>
      </c>
    </row>
    <row r="36" spans="1:2" x14ac:dyDescent="0.35">
      <c r="A36" s="6" t="s">
        <v>51</v>
      </c>
      <c r="B36" s="6" t="s">
        <v>167</v>
      </c>
    </row>
    <row r="37" spans="1:2" x14ac:dyDescent="0.35">
      <c r="A37" s="6" t="s">
        <v>17</v>
      </c>
      <c r="B37" s="6" t="s">
        <v>168</v>
      </c>
    </row>
    <row r="38" spans="1:2" x14ac:dyDescent="0.35">
      <c r="A38" s="6" t="s">
        <v>26</v>
      </c>
      <c r="B38" s="6" t="s">
        <v>169</v>
      </c>
    </row>
    <row r="39" spans="1:2" x14ac:dyDescent="0.35">
      <c r="A39" s="6" t="s">
        <v>76</v>
      </c>
      <c r="B39" s="6" t="s">
        <v>170</v>
      </c>
    </row>
    <row r="40" spans="1:2" x14ac:dyDescent="0.35">
      <c r="A40" s="6" t="s">
        <v>74</v>
      </c>
      <c r="B40" s="6" t="s">
        <v>171</v>
      </c>
    </row>
    <row r="41" spans="1:2" x14ac:dyDescent="0.35">
      <c r="A41" s="6" t="s">
        <v>24</v>
      </c>
      <c r="B41" s="6" t="s">
        <v>172</v>
      </c>
    </row>
    <row r="42" spans="1:2" x14ac:dyDescent="0.35">
      <c r="A42" s="6" t="s">
        <v>62</v>
      </c>
      <c r="B42" s="6" t="s">
        <v>173</v>
      </c>
    </row>
    <row r="43" spans="1:2" x14ac:dyDescent="0.35">
      <c r="A43" s="6" t="s">
        <v>29</v>
      </c>
      <c r="B43" s="6" t="s">
        <v>174</v>
      </c>
    </row>
    <row r="44" spans="1:2" x14ac:dyDescent="0.35">
      <c r="A44" s="6" t="s">
        <v>67</v>
      </c>
      <c r="B44" s="6" t="s">
        <v>175</v>
      </c>
    </row>
    <row r="45" spans="1:2" x14ac:dyDescent="0.35">
      <c r="A45" s="6" t="s">
        <v>54</v>
      </c>
      <c r="B45" s="6" t="s">
        <v>176</v>
      </c>
    </row>
    <row r="46" spans="1:2" x14ac:dyDescent="0.35">
      <c r="A46" s="6" t="s">
        <v>25</v>
      </c>
      <c r="B46" s="6" t="s">
        <v>177</v>
      </c>
    </row>
    <row r="47" spans="1:2" x14ac:dyDescent="0.35">
      <c r="A47" s="6" t="s">
        <v>53</v>
      </c>
      <c r="B47" s="6" t="s">
        <v>178</v>
      </c>
    </row>
    <row r="48" spans="1:2" x14ac:dyDescent="0.35">
      <c r="A48" s="6" t="s">
        <v>48</v>
      </c>
      <c r="B48" s="6" t="s">
        <v>179</v>
      </c>
    </row>
    <row r="49" spans="1:2" x14ac:dyDescent="0.35">
      <c r="A49" s="6" t="s">
        <v>33</v>
      </c>
      <c r="B49" s="6" t="s">
        <v>180</v>
      </c>
    </row>
    <row r="50" spans="1:2" x14ac:dyDescent="0.35">
      <c r="A50" s="6" t="s">
        <v>45</v>
      </c>
      <c r="B50" s="6" t="s">
        <v>181</v>
      </c>
    </row>
    <row r="51" spans="1:2" x14ac:dyDescent="0.35">
      <c r="A51" s="6" t="s">
        <v>46</v>
      </c>
      <c r="B51" s="6" t="s">
        <v>182</v>
      </c>
    </row>
    <row r="52" spans="1:2" x14ac:dyDescent="0.35">
      <c r="A52" s="6" t="s">
        <v>57</v>
      </c>
      <c r="B52" s="6" t="s">
        <v>183</v>
      </c>
    </row>
    <row r="53" spans="1:2" x14ac:dyDescent="0.35">
      <c r="A53" s="6" t="s">
        <v>42</v>
      </c>
      <c r="B53" s="6" t="s">
        <v>184</v>
      </c>
    </row>
    <row r="54" spans="1:2" x14ac:dyDescent="0.35">
      <c r="A54" s="6" t="s">
        <v>36</v>
      </c>
      <c r="B54" s="6" t="s">
        <v>185</v>
      </c>
    </row>
    <row r="55" spans="1:2" x14ac:dyDescent="0.35">
      <c r="A55" s="6" t="s">
        <v>59</v>
      </c>
      <c r="B55" s="6" t="s">
        <v>186</v>
      </c>
    </row>
    <row r="56" spans="1:2" x14ac:dyDescent="0.35">
      <c r="A56" s="6" t="s">
        <v>44</v>
      </c>
      <c r="B56" s="6" t="s">
        <v>187</v>
      </c>
    </row>
    <row r="57" spans="1:2" x14ac:dyDescent="0.35">
      <c r="A57" s="6" t="s">
        <v>47</v>
      </c>
      <c r="B57" s="6" t="s">
        <v>188</v>
      </c>
    </row>
    <row r="58" spans="1:2" x14ac:dyDescent="0.35">
      <c r="A58" s="6" t="s">
        <v>34</v>
      </c>
      <c r="B58" s="6" t="s">
        <v>189</v>
      </c>
    </row>
    <row r="59" spans="1:2" x14ac:dyDescent="0.35">
      <c r="A59" s="6" t="s">
        <v>19</v>
      </c>
      <c r="B59" s="6" t="s">
        <v>190</v>
      </c>
    </row>
    <row r="60" spans="1:2" x14ac:dyDescent="0.35">
      <c r="A60" s="6" t="s">
        <v>20</v>
      </c>
      <c r="B60" s="6" t="s">
        <v>191</v>
      </c>
    </row>
    <row r="61" spans="1:2" x14ac:dyDescent="0.35">
      <c r="A61" s="6" t="s">
        <v>60</v>
      </c>
      <c r="B61" s="6" t="s">
        <v>192</v>
      </c>
    </row>
    <row r="62" spans="1:2" x14ac:dyDescent="0.35">
      <c r="A62" s="6" t="s">
        <v>30</v>
      </c>
      <c r="B62" s="6" t="s">
        <v>193</v>
      </c>
    </row>
    <row r="63" spans="1:2" x14ac:dyDescent="0.35">
      <c r="A63" s="6" t="s">
        <v>35</v>
      </c>
      <c r="B63" s="6" t="s">
        <v>194</v>
      </c>
    </row>
    <row r="64" spans="1:2" x14ac:dyDescent="0.35">
      <c r="A64" s="6" t="s">
        <v>32</v>
      </c>
      <c r="B64" s="6" t="s">
        <v>195</v>
      </c>
    </row>
    <row r="65" spans="1:2" x14ac:dyDescent="0.35">
      <c r="A65" s="6" t="s">
        <v>69</v>
      </c>
      <c r="B65" s="6" t="s">
        <v>196</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5"/>
  <sheetViews>
    <sheetView zoomScaleNormal="100" workbookViewId="0"/>
  </sheetViews>
  <sheetFormatPr defaultColWidth="8.6328125" defaultRowHeight="14.5" x14ac:dyDescent="0.35"/>
  <cols>
    <col min="1" max="1" width="55" customWidth="1"/>
    <col min="2" max="3" width="14" customWidth="1"/>
    <col min="4" max="4" width="25" customWidth="1"/>
  </cols>
  <sheetData>
    <row r="1" spans="1:4" x14ac:dyDescent="0.35">
      <c r="A1" s="5" t="s">
        <v>197</v>
      </c>
      <c r="B1" s="5" t="s">
        <v>198</v>
      </c>
      <c r="C1" s="5" t="s">
        <v>199</v>
      </c>
      <c r="D1" s="5" t="s">
        <v>200</v>
      </c>
    </row>
    <row r="2" spans="1:4" x14ac:dyDescent="0.35">
      <c r="A2" s="6" t="s">
        <v>50</v>
      </c>
      <c r="B2" s="6" t="s">
        <v>201</v>
      </c>
      <c r="C2" s="6" t="s">
        <v>202</v>
      </c>
      <c r="D2" s="6" t="s">
        <v>41</v>
      </c>
    </row>
    <row r="3" spans="1:4" x14ac:dyDescent="0.35">
      <c r="A3" s="6" t="s">
        <v>55</v>
      </c>
      <c r="B3" s="6" t="s">
        <v>203</v>
      </c>
      <c r="C3" s="6" t="s">
        <v>204</v>
      </c>
      <c r="D3" s="6" t="s">
        <v>41</v>
      </c>
    </row>
    <row r="4" spans="1:4" x14ac:dyDescent="0.35">
      <c r="A4" s="6" t="s">
        <v>40</v>
      </c>
      <c r="B4" s="6" t="s">
        <v>205</v>
      </c>
      <c r="C4" s="6" t="s">
        <v>206</v>
      </c>
      <c r="D4" s="6" t="s">
        <v>41</v>
      </c>
    </row>
    <row r="5" spans="1:4" x14ac:dyDescent="0.35">
      <c r="A5" s="6" t="s">
        <v>52</v>
      </c>
      <c r="B5" s="6" t="s">
        <v>207</v>
      </c>
      <c r="C5" s="6" t="s">
        <v>208</v>
      </c>
      <c r="D5" s="6" t="s">
        <v>41</v>
      </c>
    </row>
    <row r="6" spans="1:4" x14ac:dyDescent="0.35">
      <c r="A6" s="6" t="s">
        <v>64</v>
      </c>
      <c r="B6" s="6" t="s">
        <v>209</v>
      </c>
      <c r="C6" s="6" t="s">
        <v>210</v>
      </c>
      <c r="D6" s="6" t="s">
        <v>41</v>
      </c>
    </row>
    <row r="7" spans="1:4" x14ac:dyDescent="0.35">
      <c r="A7" s="6" t="s">
        <v>38</v>
      </c>
      <c r="B7" s="6" t="s">
        <v>211</v>
      </c>
      <c r="C7" s="6" t="s">
        <v>212</v>
      </c>
      <c r="D7" s="6" t="s">
        <v>14</v>
      </c>
    </row>
    <row r="8" spans="1:4" x14ac:dyDescent="0.35">
      <c r="A8" s="6" t="s">
        <v>15</v>
      </c>
      <c r="B8" s="6" t="s">
        <v>213</v>
      </c>
      <c r="C8" s="6" t="s">
        <v>214</v>
      </c>
      <c r="D8" s="6" t="s">
        <v>14</v>
      </c>
    </row>
    <row r="9" spans="1:4" x14ac:dyDescent="0.35">
      <c r="A9" s="6" t="s">
        <v>23</v>
      </c>
      <c r="B9" s="6" t="s">
        <v>215</v>
      </c>
      <c r="C9" s="6" t="s">
        <v>216</v>
      </c>
      <c r="D9" s="6" t="s">
        <v>14</v>
      </c>
    </row>
    <row r="10" spans="1:4" x14ac:dyDescent="0.35">
      <c r="A10" s="6" t="s">
        <v>16</v>
      </c>
      <c r="B10" s="6" t="s">
        <v>217</v>
      </c>
      <c r="C10" s="6" t="s">
        <v>218</v>
      </c>
      <c r="D10" s="6" t="s">
        <v>14</v>
      </c>
    </row>
    <row r="11" spans="1:4" x14ac:dyDescent="0.35">
      <c r="A11" s="6" t="s">
        <v>18</v>
      </c>
      <c r="B11" s="6" t="s">
        <v>219</v>
      </c>
      <c r="C11" s="6" t="s">
        <v>220</v>
      </c>
      <c r="D11" s="6" t="s">
        <v>14</v>
      </c>
    </row>
    <row r="12" spans="1:4" x14ac:dyDescent="0.35">
      <c r="A12" s="6" t="s">
        <v>13</v>
      </c>
      <c r="B12" s="6" t="s">
        <v>221</v>
      </c>
      <c r="C12" s="6" t="s">
        <v>222</v>
      </c>
      <c r="D12" s="6" t="s">
        <v>14</v>
      </c>
    </row>
    <row r="13" spans="1:4" x14ac:dyDescent="0.35">
      <c r="A13" s="6" t="s">
        <v>31</v>
      </c>
      <c r="B13" s="6" t="s">
        <v>223</v>
      </c>
      <c r="C13" s="6" t="s">
        <v>224</v>
      </c>
      <c r="D13" s="6" t="s">
        <v>14</v>
      </c>
    </row>
    <row r="14" spans="1:4" x14ac:dyDescent="0.35">
      <c r="A14" s="6" t="s">
        <v>21</v>
      </c>
      <c r="B14" s="6" t="s">
        <v>225</v>
      </c>
      <c r="C14" s="6" t="s">
        <v>226</v>
      </c>
      <c r="D14" s="6" t="s">
        <v>14</v>
      </c>
    </row>
    <row r="15" spans="1:4" x14ac:dyDescent="0.35">
      <c r="A15" s="6" t="s">
        <v>49</v>
      </c>
      <c r="B15" s="6" t="s">
        <v>227</v>
      </c>
      <c r="C15" s="6" t="s">
        <v>228</v>
      </c>
      <c r="D15" s="6" t="s">
        <v>14</v>
      </c>
    </row>
    <row r="16" spans="1:4" x14ac:dyDescent="0.35">
      <c r="A16" s="6" t="s">
        <v>63</v>
      </c>
      <c r="B16" s="6" t="s">
        <v>229</v>
      </c>
      <c r="C16" s="6" t="s">
        <v>230</v>
      </c>
      <c r="D16" s="6" t="s">
        <v>14</v>
      </c>
    </row>
    <row r="17" spans="1:4" x14ac:dyDescent="0.35">
      <c r="A17" s="6" t="s">
        <v>28</v>
      </c>
      <c r="B17" s="6" t="s">
        <v>231</v>
      </c>
      <c r="C17" s="6" t="s">
        <v>232</v>
      </c>
      <c r="D17" s="6" t="s">
        <v>14</v>
      </c>
    </row>
    <row r="18" spans="1:4" x14ac:dyDescent="0.35">
      <c r="A18" s="6" t="s">
        <v>39</v>
      </c>
      <c r="B18" s="6" t="s">
        <v>233</v>
      </c>
      <c r="C18" s="6" t="s">
        <v>234</v>
      </c>
      <c r="D18" s="6" t="s">
        <v>14</v>
      </c>
    </row>
    <row r="19" spans="1:4" x14ac:dyDescent="0.35">
      <c r="A19" s="6" t="s">
        <v>37</v>
      </c>
      <c r="B19" s="6" t="s">
        <v>235</v>
      </c>
      <c r="C19" s="6" t="s">
        <v>236</v>
      </c>
      <c r="D19" s="6" t="s">
        <v>11</v>
      </c>
    </row>
    <row r="20" spans="1:4" x14ac:dyDescent="0.35">
      <c r="A20" s="6" t="s">
        <v>72</v>
      </c>
      <c r="B20" s="6" t="s">
        <v>237</v>
      </c>
      <c r="C20" s="6" t="s">
        <v>238</v>
      </c>
      <c r="D20" s="6" t="s">
        <v>14</v>
      </c>
    </row>
    <row r="21" spans="1:4" x14ac:dyDescent="0.35">
      <c r="A21" s="6" t="s">
        <v>10</v>
      </c>
      <c r="B21" s="6" t="s">
        <v>239</v>
      </c>
      <c r="C21" s="6" t="s">
        <v>240</v>
      </c>
      <c r="D21" s="6" t="s">
        <v>11</v>
      </c>
    </row>
    <row r="22" spans="1:4" x14ac:dyDescent="0.35">
      <c r="A22" s="6" t="s">
        <v>43</v>
      </c>
      <c r="B22" s="6" t="s">
        <v>241</v>
      </c>
      <c r="C22" s="6" t="s">
        <v>242</v>
      </c>
      <c r="D22" s="6" t="s">
        <v>14</v>
      </c>
    </row>
    <row r="23" spans="1:4" x14ac:dyDescent="0.35">
      <c r="A23" s="6" t="s">
        <v>22</v>
      </c>
      <c r="B23" s="6" t="s">
        <v>243</v>
      </c>
      <c r="C23" s="6" t="s">
        <v>244</v>
      </c>
      <c r="D23" s="6" t="s">
        <v>11</v>
      </c>
    </row>
    <row r="24" spans="1:4" x14ac:dyDescent="0.35">
      <c r="A24" s="6" t="s">
        <v>70</v>
      </c>
      <c r="B24" s="6" t="s">
        <v>245</v>
      </c>
      <c r="C24" s="6" t="s">
        <v>246</v>
      </c>
      <c r="D24" s="6" t="s">
        <v>14</v>
      </c>
    </row>
    <row r="25" spans="1:4" x14ac:dyDescent="0.35">
      <c r="A25" s="6" t="s">
        <v>61</v>
      </c>
      <c r="B25" s="6" t="s">
        <v>247</v>
      </c>
      <c r="C25" s="6" t="s">
        <v>248</v>
      </c>
      <c r="D25" s="6" t="s">
        <v>14</v>
      </c>
    </row>
    <row r="26" spans="1:4" x14ac:dyDescent="0.35">
      <c r="A26" s="6" t="s">
        <v>12</v>
      </c>
      <c r="B26" s="6" t="s">
        <v>249</v>
      </c>
      <c r="C26" s="6" t="s">
        <v>250</v>
      </c>
      <c r="D26" s="6" t="s">
        <v>11</v>
      </c>
    </row>
    <row r="27" spans="1:4" x14ac:dyDescent="0.35">
      <c r="A27" s="6" t="s">
        <v>27</v>
      </c>
      <c r="B27" s="6" t="s">
        <v>251</v>
      </c>
      <c r="C27" s="6" t="s">
        <v>252</v>
      </c>
      <c r="D27" s="6" t="s">
        <v>11</v>
      </c>
    </row>
    <row r="28" spans="1:4" x14ac:dyDescent="0.35">
      <c r="A28" s="6" t="s">
        <v>56</v>
      </c>
      <c r="B28" s="6" t="s">
        <v>253</v>
      </c>
      <c r="C28" s="6" t="s">
        <v>254</v>
      </c>
      <c r="D28" s="6" t="s">
        <v>11</v>
      </c>
    </row>
    <row r="29" spans="1:4" x14ac:dyDescent="0.35">
      <c r="A29" s="6" t="s">
        <v>58</v>
      </c>
      <c r="B29" s="6" t="s">
        <v>255</v>
      </c>
      <c r="C29" s="6" t="s">
        <v>256</v>
      </c>
      <c r="D29" s="6" t="s">
        <v>14</v>
      </c>
    </row>
    <row r="30" spans="1:4" x14ac:dyDescent="0.35">
      <c r="A30" s="6" t="s">
        <v>75</v>
      </c>
      <c r="B30" s="6" t="s">
        <v>257</v>
      </c>
      <c r="C30" s="6" t="s">
        <v>258</v>
      </c>
      <c r="D30" s="6" t="s">
        <v>14</v>
      </c>
    </row>
    <row r="31" spans="1:4" x14ac:dyDescent="0.35">
      <c r="A31" s="6" t="s">
        <v>68</v>
      </c>
      <c r="B31" s="6" t="s">
        <v>259</v>
      </c>
      <c r="C31" s="6" t="s">
        <v>260</v>
      </c>
      <c r="D31" s="6" t="s">
        <v>11</v>
      </c>
    </row>
    <row r="32" spans="1:4" x14ac:dyDescent="0.35">
      <c r="A32" s="6" t="s">
        <v>73</v>
      </c>
      <c r="B32" s="6" t="s">
        <v>261</v>
      </c>
      <c r="C32" s="6" t="s">
        <v>262</v>
      </c>
      <c r="D32" s="6" t="s">
        <v>14</v>
      </c>
    </row>
    <row r="33" spans="1:4" x14ac:dyDescent="0.35">
      <c r="A33" s="6" t="s">
        <v>71</v>
      </c>
      <c r="B33" s="6" t="s">
        <v>263</v>
      </c>
      <c r="C33" s="6" t="s">
        <v>264</v>
      </c>
      <c r="D33" s="6" t="s">
        <v>11</v>
      </c>
    </row>
    <row r="34" spans="1:4" x14ac:dyDescent="0.35">
      <c r="A34" s="6" t="s">
        <v>66</v>
      </c>
      <c r="B34" s="6" t="s">
        <v>265</v>
      </c>
      <c r="C34" s="6" t="s">
        <v>266</v>
      </c>
      <c r="D34" s="6" t="s">
        <v>11</v>
      </c>
    </row>
    <row r="35" spans="1:4" x14ac:dyDescent="0.35">
      <c r="A35" s="6" t="s">
        <v>65</v>
      </c>
      <c r="B35" s="6" t="s">
        <v>267</v>
      </c>
      <c r="C35" s="6" t="s">
        <v>268</v>
      </c>
      <c r="D35" s="6" t="s">
        <v>14</v>
      </c>
    </row>
    <row r="36" spans="1:4" x14ac:dyDescent="0.35">
      <c r="A36" s="6" t="s">
        <v>269</v>
      </c>
      <c r="B36" s="6" t="s">
        <v>270</v>
      </c>
      <c r="C36" s="6" t="s">
        <v>271</v>
      </c>
      <c r="D36" s="6" t="s">
        <v>14</v>
      </c>
    </row>
    <row r="37" spans="1:4" x14ac:dyDescent="0.35">
      <c r="A37" s="6" t="s">
        <v>17</v>
      </c>
      <c r="B37" s="6" t="s">
        <v>272</v>
      </c>
      <c r="C37" s="6" t="s">
        <v>273</v>
      </c>
      <c r="D37" s="6" t="s">
        <v>11</v>
      </c>
    </row>
    <row r="38" spans="1:4" x14ac:dyDescent="0.35">
      <c r="A38" s="6" t="s">
        <v>26</v>
      </c>
      <c r="B38" s="6" t="s">
        <v>274</v>
      </c>
      <c r="C38" s="6" t="s">
        <v>275</v>
      </c>
      <c r="D38" s="6" t="s">
        <v>11</v>
      </c>
    </row>
    <row r="39" spans="1:4" x14ac:dyDescent="0.35">
      <c r="A39" s="6" t="s">
        <v>76</v>
      </c>
      <c r="B39" s="6" t="s">
        <v>276</v>
      </c>
      <c r="C39" s="6" t="s">
        <v>277</v>
      </c>
      <c r="D39" s="6" t="s">
        <v>14</v>
      </c>
    </row>
    <row r="40" spans="1:4" x14ac:dyDescent="0.35">
      <c r="A40" s="6" t="s">
        <v>74</v>
      </c>
      <c r="B40" s="6" t="s">
        <v>278</v>
      </c>
      <c r="C40" s="6" t="s">
        <v>279</v>
      </c>
      <c r="D40" s="6" t="s">
        <v>14</v>
      </c>
    </row>
    <row r="41" spans="1:4" x14ac:dyDescent="0.35">
      <c r="A41" s="6" t="s">
        <v>24</v>
      </c>
      <c r="B41" s="6" t="s">
        <v>280</v>
      </c>
      <c r="C41" s="6" t="s">
        <v>281</v>
      </c>
      <c r="D41" s="6" t="s">
        <v>11</v>
      </c>
    </row>
    <row r="42" spans="1:4" x14ac:dyDescent="0.35">
      <c r="A42" s="6" t="s">
        <v>62</v>
      </c>
      <c r="B42" s="6" t="s">
        <v>282</v>
      </c>
      <c r="C42" s="6" t="s">
        <v>283</v>
      </c>
      <c r="D42" s="6" t="s">
        <v>14</v>
      </c>
    </row>
    <row r="43" spans="1:4" x14ac:dyDescent="0.35">
      <c r="A43" s="6" t="s">
        <v>29</v>
      </c>
      <c r="B43" s="6" t="s">
        <v>284</v>
      </c>
      <c r="C43" s="6" t="s">
        <v>285</v>
      </c>
      <c r="D43" s="6" t="s">
        <v>11</v>
      </c>
    </row>
    <row r="44" spans="1:4" x14ac:dyDescent="0.35">
      <c r="A44" s="6" t="s">
        <v>67</v>
      </c>
      <c r="B44" s="6" t="s">
        <v>286</v>
      </c>
      <c r="C44" s="6" t="s">
        <v>287</v>
      </c>
      <c r="D44" s="6" t="s">
        <v>14</v>
      </c>
    </row>
    <row r="45" spans="1:4" x14ac:dyDescent="0.35">
      <c r="A45" s="6" t="s">
        <v>54</v>
      </c>
      <c r="B45" s="6" t="s">
        <v>288</v>
      </c>
      <c r="C45" s="6" t="s">
        <v>289</v>
      </c>
      <c r="D45" s="6" t="s">
        <v>11</v>
      </c>
    </row>
    <row r="46" spans="1:4" x14ac:dyDescent="0.35">
      <c r="A46" s="6" t="s">
        <v>25</v>
      </c>
      <c r="B46" s="6" t="s">
        <v>290</v>
      </c>
      <c r="C46" s="6" t="s">
        <v>291</v>
      </c>
      <c r="D46" s="6" t="s">
        <v>14</v>
      </c>
    </row>
    <row r="47" spans="1:4" x14ac:dyDescent="0.35">
      <c r="A47" s="6" t="s">
        <v>53</v>
      </c>
      <c r="B47" s="6" t="s">
        <v>292</v>
      </c>
      <c r="C47" s="6" t="s">
        <v>293</v>
      </c>
      <c r="D47" s="6" t="s">
        <v>14</v>
      </c>
    </row>
    <row r="48" spans="1:4" x14ac:dyDescent="0.35">
      <c r="A48" s="6" t="s">
        <v>48</v>
      </c>
      <c r="B48" s="6" t="s">
        <v>294</v>
      </c>
      <c r="C48" s="6" t="s">
        <v>295</v>
      </c>
      <c r="D48" s="6" t="s">
        <v>14</v>
      </c>
    </row>
    <row r="49" spans="1:4" x14ac:dyDescent="0.35">
      <c r="A49" s="6" t="s">
        <v>33</v>
      </c>
      <c r="B49" s="6" t="s">
        <v>296</v>
      </c>
      <c r="C49" s="6" t="s">
        <v>297</v>
      </c>
      <c r="D49" s="6" t="s">
        <v>11</v>
      </c>
    </row>
    <row r="50" spans="1:4" x14ac:dyDescent="0.35">
      <c r="A50" s="6" t="s">
        <v>45</v>
      </c>
      <c r="B50" s="6" t="s">
        <v>298</v>
      </c>
      <c r="C50" s="6" t="s">
        <v>299</v>
      </c>
      <c r="D50" s="6" t="s">
        <v>11</v>
      </c>
    </row>
    <row r="51" spans="1:4" x14ac:dyDescent="0.35">
      <c r="A51" s="6" t="s">
        <v>46</v>
      </c>
      <c r="B51" s="6" t="s">
        <v>300</v>
      </c>
      <c r="C51" s="6" t="s">
        <v>301</v>
      </c>
      <c r="D51" s="6" t="s">
        <v>11</v>
      </c>
    </row>
    <row r="52" spans="1:4" x14ac:dyDescent="0.35">
      <c r="A52" s="6" t="s">
        <v>57</v>
      </c>
      <c r="B52" s="6" t="s">
        <v>302</v>
      </c>
      <c r="C52" s="6" t="s">
        <v>303</v>
      </c>
      <c r="D52" s="6" t="s">
        <v>11</v>
      </c>
    </row>
    <row r="53" spans="1:4" x14ac:dyDescent="0.35">
      <c r="A53" s="6" t="s">
        <v>42</v>
      </c>
      <c r="B53" s="6" t="s">
        <v>304</v>
      </c>
      <c r="C53" s="6" t="s">
        <v>305</v>
      </c>
      <c r="D53" s="6" t="s">
        <v>11</v>
      </c>
    </row>
    <row r="54" spans="1:4" x14ac:dyDescent="0.35">
      <c r="A54" s="6" t="s">
        <v>36</v>
      </c>
      <c r="B54" s="6" t="s">
        <v>306</v>
      </c>
      <c r="C54" s="6" t="s">
        <v>307</v>
      </c>
      <c r="D54" s="6" t="s">
        <v>11</v>
      </c>
    </row>
    <row r="55" spans="1:4" x14ac:dyDescent="0.35">
      <c r="A55" s="6" t="s">
        <v>59</v>
      </c>
      <c r="B55" s="6" t="s">
        <v>308</v>
      </c>
      <c r="C55" s="6" t="s">
        <v>309</v>
      </c>
      <c r="D55" s="6" t="s">
        <v>11</v>
      </c>
    </row>
    <row r="56" spans="1:4" x14ac:dyDescent="0.35">
      <c r="A56" s="6" t="s">
        <v>44</v>
      </c>
      <c r="B56" s="6" t="s">
        <v>310</v>
      </c>
      <c r="C56" s="6" t="s">
        <v>311</v>
      </c>
      <c r="D56" s="6" t="s">
        <v>11</v>
      </c>
    </row>
    <row r="57" spans="1:4" x14ac:dyDescent="0.35">
      <c r="A57" s="6" t="s">
        <v>47</v>
      </c>
      <c r="B57" s="6" t="s">
        <v>312</v>
      </c>
      <c r="C57" s="6" t="s">
        <v>313</v>
      </c>
      <c r="D57" s="6" t="s">
        <v>11</v>
      </c>
    </row>
    <row r="58" spans="1:4" x14ac:dyDescent="0.35">
      <c r="A58" s="6" t="s">
        <v>34</v>
      </c>
      <c r="B58" s="6" t="s">
        <v>314</v>
      </c>
      <c r="C58" s="6" t="s">
        <v>315</v>
      </c>
      <c r="D58" s="6" t="s">
        <v>11</v>
      </c>
    </row>
    <row r="59" spans="1:4" x14ac:dyDescent="0.35">
      <c r="A59" s="6" t="s">
        <v>19</v>
      </c>
      <c r="B59" s="6" t="s">
        <v>316</v>
      </c>
      <c r="C59" s="6" t="s">
        <v>317</v>
      </c>
      <c r="D59" s="6" t="s">
        <v>11</v>
      </c>
    </row>
    <row r="60" spans="1:4" x14ac:dyDescent="0.35">
      <c r="A60" s="6" t="s">
        <v>20</v>
      </c>
      <c r="B60" s="6" t="s">
        <v>318</v>
      </c>
      <c r="C60" s="6" t="s">
        <v>319</v>
      </c>
      <c r="D60" s="6" t="s">
        <v>11</v>
      </c>
    </row>
    <row r="61" spans="1:4" x14ac:dyDescent="0.35">
      <c r="A61" s="6" t="s">
        <v>60</v>
      </c>
      <c r="B61" s="6" t="s">
        <v>320</v>
      </c>
      <c r="C61" s="6" t="s">
        <v>321</v>
      </c>
      <c r="D61" s="6" t="s">
        <v>11</v>
      </c>
    </row>
    <row r="62" spans="1:4" x14ac:dyDescent="0.35">
      <c r="A62" s="6" t="s">
        <v>30</v>
      </c>
      <c r="B62" s="6" t="s">
        <v>322</v>
      </c>
      <c r="C62" s="6" t="s">
        <v>323</v>
      </c>
      <c r="D62" s="6" t="s">
        <v>11</v>
      </c>
    </row>
    <row r="63" spans="1:4" x14ac:dyDescent="0.35">
      <c r="A63" s="6" t="s">
        <v>35</v>
      </c>
      <c r="B63" s="6" t="s">
        <v>324</v>
      </c>
      <c r="C63" s="6" t="s">
        <v>325</v>
      </c>
      <c r="D63" s="6" t="s">
        <v>11</v>
      </c>
    </row>
    <row r="64" spans="1:4" x14ac:dyDescent="0.35">
      <c r="A64" s="6" t="s">
        <v>32</v>
      </c>
      <c r="B64" s="6" t="s">
        <v>326</v>
      </c>
      <c r="C64" s="6" t="s">
        <v>327</v>
      </c>
      <c r="D64" s="6" t="s">
        <v>11</v>
      </c>
    </row>
    <row r="65" spans="1:4" x14ac:dyDescent="0.35">
      <c r="A65" s="6" t="s">
        <v>69</v>
      </c>
      <c r="B65" s="6" t="s">
        <v>328</v>
      </c>
      <c r="C65" s="6" t="s">
        <v>329</v>
      </c>
      <c r="D65" s="6" t="s">
        <v>11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Ringkasan</vt:lpstr>
      <vt:lpstr>AHP</vt:lpstr>
      <vt:lpstr>Detail Aksesibilitas</vt:lpstr>
      <vt:lpstr>Detail Kondisi</vt:lpstr>
      <vt:lpstr>Detail Lingkungan</vt:lpstr>
      <vt:lpstr>Deskripsi Asli</vt:lpstr>
      <vt:lpstr>Koordinat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Acer Aspire</cp:lastModifiedBy>
  <cp:revision>0</cp:revision>
  <dcterms:created xsi:type="dcterms:W3CDTF">2026-09-09T13:24:12Z</dcterms:created>
  <dcterms:modified xsi:type="dcterms:W3CDTF">2026-09-10T17:56:00Z</dcterms:modified>
  <dc:language>en-US</dc:language>
</cp:coreProperties>
</file>